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D:\TaiLieuLNH\HK1Nam4\Tester\Lab3\"/>
    </mc:Choice>
  </mc:AlternateContent>
  <xr:revisionPtr revIDLastSave="0" documentId="13_ncr:1_{A1D7892A-A702-43F6-98B2-D52D74031FB5}" xr6:coauthVersionLast="47" xr6:coauthVersionMax="47" xr10:uidLastSave="{00000000-0000-0000-0000-000000000000}"/>
  <bookViews>
    <workbookView xWindow="-108" yWindow="-108" windowWidth="23256" windowHeight="12456" activeTab="3" xr2:uid="{00000000-000D-0000-FFFF-FFFF00000000}"/>
  </bookViews>
  <sheets>
    <sheet name="Cover" sheetId="1" r:id="rId1"/>
    <sheet name="TestDesign" sheetId="9" r:id="rId2"/>
    <sheet name="Test case List" sheetId="2" r:id="rId3"/>
    <sheet name="SearchAndFilter" sheetId="11" r:id="rId4"/>
    <sheet name="Test Report" sheetId="8" r:id="rId5"/>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 l="1"/>
  <c r="A34" i="11"/>
  <c r="A9" i="11"/>
  <c r="C11" i="8"/>
  <c r="C3" i="8"/>
  <c r="C4" i="8"/>
  <c r="C5" i="8" s="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3" i="11"/>
  <c r="A32" i="11"/>
  <c r="A31" i="11"/>
  <c r="A30" i="11"/>
  <c r="A29" i="11"/>
  <c r="A28" i="11"/>
  <c r="A27" i="11"/>
  <c r="A26" i="11"/>
  <c r="A25" i="11"/>
  <c r="A24" i="11"/>
  <c r="A23" i="11"/>
  <c r="A22" i="11"/>
  <c r="A21" i="11"/>
  <c r="A20" i="11"/>
  <c r="A19" i="11"/>
  <c r="A18" i="11"/>
  <c r="A17" i="11"/>
  <c r="A16" i="11"/>
  <c r="A15" i="11"/>
  <c r="A14" i="11"/>
  <c r="A13" i="11"/>
  <c r="A12" i="11"/>
  <c r="A11" i="11"/>
  <c r="A10" i="11"/>
  <c r="E6" i="11"/>
  <c r="H11" i="8" s="1"/>
  <c r="H13" i="8" s="1"/>
  <c r="D6" i="11"/>
  <c r="G11" i="8" s="1"/>
  <c r="G13" i="8" s="1"/>
  <c r="B6" i="11"/>
  <c r="E11" i="8" s="1"/>
  <c r="E13" i="8" s="1"/>
  <c r="A6" i="11"/>
  <c r="D11" i="8" s="1"/>
  <c r="D13" i="8" s="1"/>
  <c r="E16" i="8" l="1"/>
  <c r="F6" i="11"/>
  <c r="C6" i="11" l="1"/>
  <c r="F11" i="8" s="1"/>
  <c r="F13" i="8" s="1"/>
  <c r="I11" i="8"/>
  <c r="I13" i="8" s="1"/>
  <c r="E15" i="8" s="1"/>
  <c r="G12" i="1"/>
  <c r="D4" i="2"/>
  <c r="D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family val="2"/>
            <scheme val="minor"/>
          </rPr>
          <t>======
ID#AAAAHWfBFzA
    (2020-11-28 06:09:48)
*A: Add
  M: Modify
  D: Delete</t>
        </r>
      </text>
    </comment>
  </commentList>
  <extLst>
    <ext xmlns:r="http://schemas.openxmlformats.org/officeDocument/2006/relationships" uri="GoogleSheetsCustomDataVersion1">
      <go:sheetsCustomData xmlns:go="http://customooxmlschemas.google.com/" r:id="rId1" roundtripDataSignature="AMtx7mh4r3ldso+XbCKscmHalLs/WaIb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A4A92537-A978-4CE7-A1D1-49459983B01C}">
      <text>
        <r>
          <rPr>
            <sz val="11"/>
            <color rgb="FF000000"/>
            <rFont val="Calibri"/>
            <family val="2"/>
            <scheme val="minor"/>
          </rPr>
          <t>======
ID#AAAAHWfBFzM
    (2020-11-28 06:09:48)
Pass
Fail
Untested
N/A</t>
        </r>
      </text>
    </comment>
  </commentList>
</comments>
</file>

<file path=xl/sharedStrings.xml><?xml version="1.0" encoding="utf-8"?>
<sst xmlns="http://schemas.openxmlformats.org/spreadsheetml/2006/main" count="468" uniqueCount="315">
  <si>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</si>
  <si>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</si>
  <si>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</si>
  <si>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</si>
  <si>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</si>
  <si>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</si>
  <si>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</si>
  <si>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</si>
  <si>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</si>
  <si>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</si>
  <si>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</si>
  <si>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</si>
  <si>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</si>
  <si>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</si>
  <si>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</si>
  <si>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</si>
  <si>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</si>
  <si>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</si>
  <si>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</si>
  <si>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</si>
  <si>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</si>
  <si>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</si>
  <si>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</si>
  <si>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</si>
  <si>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</si>
  <si>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&lt;Add more function names here&gt;</t>
  </si>
  <si>
    <t>Note</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</si>
  <si>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</si>
  <si>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</si>
  <si>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</si>
  <si>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</si>
  <si>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</si>
  <si>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</si>
  <si>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</si>
  <si>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</si>
  <si>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</si>
  <si>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</si>
  <si>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</si>
  <si>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</si>
  <si>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</si>
  <si>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</si>
  <si>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</si>
  <si>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</si>
  <si>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</si>
  <si>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</si>
  <si>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</si>
  <si>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</si>
  <si>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</si>
  <si>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</si>
  <si>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</si>
  <si>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</si>
  <si>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</si>
  <si>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</si>
  <si>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</si>
  <si>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</si>
  <si>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Website CellphoneS</t>
  </si>
  <si>
    <t>Lê Ngọc Hà</t>
  </si>
  <si>
    <t>Tìm kiếm và lọc sản phẩm</t>
  </si>
  <si>
    <t>Kiểm tra khi hover vào "biểu tượng tìm kiếm" trên thanh tìm kiếm sẽ thay đổi màu nền</t>
  </si>
  <si>
    <t>1. Người dùng truy cập vào trang CellPhoneS: https://cellphones.com.vn/
2. Người dùng hover vào biểu tượng tìm kiếm</t>
  </si>
  <si>
    <t>1. Trang web sẽ hiện ra màn hình [Trang chủ] và thanh tìm kiếm nằm ở trên đầu trang. 
2. Biểu tượng tìm kiếm sẽ thay đổi màu nền</t>
  </si>
  <si>
    <t>Kiểm tra xem con trỏ chuột có chuyển thành bàn tay khi hover vào biểu tượng tìm kiếm</t>
  </si>
  <si>
    <t>1. Trang web sẽ hiện ra màn hình [Trang chủ] và thanh tìm kiếm nằm ở trên đầu trang. 
2. Con trỏ chuột chuyển thành hình bàn tay (hand on mouse)</t>
  </si>
  <si>
    <t>1. Người dùng truy cập vào trang CellPhoneS: https://cellphones.com.vn/
2. Người dùng click vào ô tìm kiếm mà không nhập từ khóa
3. Quan sát.</t>
  </si>
  <si>
    <t>1. Trang web sẽ hiện ra màn hình [Trang chủ] và thanh tìm kiếm nằm ở trên đầu trang. 
2. Hiển thị các xu hướng tìm kiếm đang hot hiện nay
3. Giao diện gợi ý tìm kiếm giống với mô tả trong SRS</t>
  </si>
  <si>
    <t>1. Người dùng truy cập vào trang CellPhoneS: https://cellphones.com.vn/
2. Người dùng click vào ô tìm kiếm
3. Nhập từ khóa
4. Nhấn Enter và quan sát</t>
  </si>
  <si>
    <t>1. Trang web sẽ hiện ra màn hình [Trang chủ] và thanh tìm kiếm nằm ở trên đầu trang. 
2. Hiển thị các xu hướng tìm kiếm đang hot hiện nay
4. Giao diện hiển thị kết quả tìm kiếm giống với mô tả trong SRS</t>
  </si>
  <si>
    <t>Kiểm tra giao diện hiển thị menu khi hover vào danh mục trên màn hình [Danh muc].</t>
  </si>
  <si>
    <t>1. Người dùng truy cập vào trang CellPhoneS: https://cellphones.com.vn/
2. Người dùng click vào nút Danh mục
3. Hover vào các danh mục trong danh sách các danh mục và quan sát</t>
  </si>
  <si>
    <t>1. Trang web sẽ hiện ra màn hình [Trang chủ] và thanh tìm kiếm nằm ở trên đầu trang. 
2. Hiển thị bảng danh sách các danh mục.
3. Màu nền và chữ của danh mục thay đổi và hiển thị giao diện menu con bên cạnh giống với mô tả trong SRS.</t>
  </si>
  <si>
    <t>Kiểm tra xem con trỏ chuột có chuyển thành bàn tay khi hover vào danh mục trên màn hình [Danh mục]</t>
  </si>
  <si>
    <t>1. Trang web sẽ hiện ra màn hình [Trang chủ] và thanh tìm kiếm nằm ở trên đầu trang. 
2. Hiển thị bảng danh sách các danh mục.
3. Con trỏ chuột chuyển thành hình bàn tay (hand on mouse)</t>
  </si>
  <si>
    <t>1. Trang web sẽ hiện ra màn hình [Trang chủ] và thanh tìm kiếm nằm ở trên đầu trang. 
2. Hiển thị các xu hướng tìm kiếm đang hot hiện nay
4. Giao diện hiển thị kết quả tìm kiếm giống với mô tả trong SRS
5. Sản phẩm sẽ thay đổi màu nền và được scare lên 1.2</t>
  </si>
  <si>
    <t>Kiểm tra giao diện hiển thị nếu không có kết quả tìm kiếm</t>
  </si>
  <si>
    <t>1. Người dùng truy cập vào trang CellPhoneS: https://cellphones.com.vn/
2. Người dùng click vào ô tìm kiếm
3. Nhập từ khóa lạ, bài báo
4. Nhấn Enter và quan sát</t>
  </si>
  <si>
    <t>1. Trang web sẽ hiện ra màn hình [Trang chủ] và thanh tìm kiếm nằm ở trên đầu trang. 
2. Hiển thị các xu hướng tìm kiếm đang hot hiện nay
4. Giao diện hiển thị thông báo không có kết quả tìm kiếm giống với mô tả trong SRS</t>
  </si>
  <si>
    <t>1. Trang web sẽ hiện ra màn hình [Trang chủ] và thanh tìm kiếm nằm ở trên đầu trang. 
2. Hiển thị các xu hướng tìm kiếm đang hot hiện nay
4. Giao diện hiển thị bộ lọc sản phẩm giống với mô tả trong SRS</t>
  </si>
  <si>
    <t xml:space="preserve">Kiểm tra xem con trỏ chuột có chuyển thành bàn tay khi hover vào các button của bộ lọc sản phẩm </t>
  </si>
  <si>
    <t>1. Người dùng truy cập vào trang CellPhoneS: https://cellphones.com.vn/
2. Người dùng click vào ô tìm kiếm
3. Nhập từ khóa
4. Nhấn Enter
5. Hover vào các nút lọc trong bộ lọc  và quan sát</t>
  </si>
  <si>
    <t>Kiểm tra hover vào các button lọc trên màn hình bộ lọc sản phẩm sẽ thay đổi màu nền và màu chữ</t>
  </si>
  <si>
    <t xml:space="preserve">Kiểm tra hiển thị phân trang sản phẩm </t>
  </si>
  <si>
    <t>1. Người dùng truy cập vào trang CellPhoneS: https://cellphones.com.vn/
2. Người dùng click vào ô tìm kiếm
3. Nhập từ khóa
4. Nhấn Enter
5. Quan sát việc hiển thị phân trang sản phẩm</t>
  </si>
  <si>
    <t>Kiểm tra gợi ý tìm kiếm sau khi nhập một phần từ khóa</t>
  </si>
  <si>
    <t xml:space="preserve">1. Người dùng truy cập vào trang CellPhoneS: https://cellphones.com.vn/
2. Người dùng click vào ô tìm kiếm
3. Nhập một phần từ khóa và quan sát.
</t>
  </si>
  <si>
    <t>1. Trang web sẽ hiện ra màn hình [Trang chủ] và thanh tìm kiếm nằm ở trên đầu trang. 
2. Hiển thị các xu hướng tìm kiếm đang hot hiện nay.
3. Hiển thị các gợi ý liên quan</t>
  </si>
  <si>
    <t>Kiểm tra gợi ý tìm kiếm khi không nhập từ khóa nào</t>
  </si>
  <si>
    <t>Kiểm tra việc hiển thị giao diện gợi ý xu hướng tìm kiếm khi không nhập từ khóa</t>
  </si>
  <si>
    <t>1. Trang web sẽ hiện ra màn hình [Trang chủ] và thanh tìm kiếm nằm ở trên đầu trang. 
2. Hiển thị các xu hướng tìm kiếm đang hot hiện nay</t>
  </si>
  <si>
    <t>1. Người dùng truy cập vào trang CellPhoneS: https://cellphones.com.vn/
2. Người dùng click vào ô tìm kiếm mà không nhập từ khóa và quan sát</t>
  </si>
  <si>
    <t>Kiểm tra gợi ý từ khóa khi nhập sai chính tả</t>
  </si>
  <si>
    <t>1. Người dùng truy cập vào trang CellPhoneS: https://cellphones.com.vn/
2. Người dùng click vào ô tìm kiếm
3. Nhập từ khóa sai chính tả "samsun"
4. Nhấn Enter và quan sát</t>
  </si>
  <si>
    <t>1. Trang web sẽ hiện ra màn hình [Trang chủ] và thanh tìm kiếm nằm ở trên đầu trang. 
2. Hiển thị các xu hướng tìm kiếm đang hot hiện nay
4. Hiển thị gợi ý với từ khóa đúng hoặc gần đúng như “Samsung Galaxy M”</t>
  </si>
  <si>
    <t>Kiểm tra khi chọn gợi ý từ danh sách</t>
  </si>
  <si>
    <t>Kiểm tra tốc độ phản hồi của gợi ý tự động khi nhập từ khóa</t>
  </si>
  <si>
    <t>1. Người dùng truy cập vào trang CellPhoneS: https://cellphones.com.vn/
2. Người dùng click vào ô tìm kiếm
3. Nhập từ khóa
4. Nhấn chọn một gợi ý từ danh sách gợi ý</t>
  </si>
  <si>
    <t>1. Trang web sẽ hiện ra màn hình [Trang chủ] và thanh tìm kiếm nằm ở trên đầu trang. 
2. Hiển thị các xu hướng tìm kiếm đang hot hiện nay
4. Hệ thống chuyển người dùng đến trang chi tiết của sản phẩm.</t>
  </si>
  <si>
    <t xml:space="preserve">1. Trang web sẽ hiện ra màn hình [Trang chủ] và thanh tìm kiếm nằm ở trên đầu trang. 
2. Hiển thị các xu hướng tìm kiếm đang hot hiện nay
3. Hệ thống hiển thị gợi ý tự động trong vòng 1 giây sau khi nhập từ khóa. </t>
  </si>
  <si>
    <t>Kiểm tra hỗ trợ tìm kiếm từ viết tắt hoặc ký tự viết hoa/viết thường</t>
  </si>
  <si>
    <t>1. Người dùng truy cập vào trang CellPhoneS: https://cellphones.com.vn/
2. Người dùng click vào ô tìm kiếm
3. Nhập từ khóa viết tắt như "IP15" và quan sát</t>
  </si>
  <si>
    <t>1. Trang web sẽ hiện ra màn hình [Trang chủ] và thanh tìm kiếm nằm ở trên đầu trang. 
2. Hiển thị các xu hướng tìm kiếm đang hot hiện nay
3. Hệ thống hiển thị gợi ý rõ ràng như "Iphone 15"</t>
  </si>
  <si>
    <t>Kiểm tra tính năng lưu trữ lịch sử tìm kiếm</t>
  </si>
  <si>
    <t>1. Người dùng truy cập vào trang CellPhoneS: https://cellphones.com.vn/
2. Người dùng click vào ô tìm kiếm
3. Nhập từ khóa
4. Nhấn Enter 
5. Nhấn lại vào thanh tìm kiếm để kiểm tra kết quả</t>
  </si>
  <si>
    <t>1. Trang web sẽ hiện ra màn hình [Trang chủ] và thanh tìm kiếm nằm ở trên đầu trang. 
2. Hiển thị các xu hướng tìm kiếm đang hot hiện nay
4. Hệ thống hiển thị kết quả tìm kiếm
5. Hệ thống hiển thị lịch sử tìm kiếm là từ khóa vừa nhập.</t>
  </si>
  <si>
    <t>Kiểm tra xử lý ký tự đặc biệt hoặc không hợp lệ khi tìm kiếm</t>
  </si>
  <si>
    <t xml:space="preserve">1. Người dùng truy cập vào trang CellPhoneS: https://cellphones.com.vn/
2. Người dùng click vào ô tìm kiếm
3. Nhập ký tự đặc biệt "@#$%^&amp;" vào thanh tìm kiếm
4. Nhấn Enter và quan sát
</t>
  </si>
  <si>
    <t>1. Trang web sẽ hiện ra màn hình [Trang chủ] và thanh tìm kiếm nằm ở trên đầu trang. 
2. Hiển thị các xu hướng tìm kiếm đang hot hiện nay
4. Hệ thống hiển thị thông báo "Không có kết quả bạn cần tìm".</t>
  </si>
  <si>
    <t>Kiểm tra giao diện mobile/responsive</t>
  </si>
  <si>
    <t>1. Người dùng truy cập vào trang CellPhoneS: https://cellphones.com.vn/
2. Click chuột phải, chọn "Kiểm tra" (Ctrl + Shift + I)
3. Click vào biểu tượng Mobile ở góc trái khu vực code. Kéo thả màn hình
4. Quan sát</t>
  </si>
  <si>
    <t>4. Website có khả năng hiển thị tốt, tương thích với nhiều loại thiết bị/trình duyệt có kích thước màn hình/cửa sổ khác nhau</t>
  </si>
  <si>
    <t>5. Hiển thị phân trang giống với mô tả trong SRS</t>
  </si>
  <si>
    <t>5. Button sẽ thay đổi màu nền và màu chữ.</t>
  </si>
  <si>
    <t>4. Hiển thị giao diện hiển thị bộ lọc sản phẩm
5. Con trỏ chuột chuyển thành hình bàn tay (hand on mouse)</t>
  </si>
  <si>
    <t>Kiểm tra giao diện (kích thước, font chữ, màu sắc, hình ảnh, icon) so với thiết kế trong SRS</t>
  </si>
  <si>
    <t>1. Người dùng truy cập vào trang CellPhoneS: https://cellphones.com.vn/
2. Quan sát so sánh với thiết kế trong SRS</t>
  </si>
  <si>
    <t>2. Đúng với đặc tả, chuyên nghiệp, giao diện dễ sử dụng</t>
  </si>
  <si>
    <t>Kiểm tra giới hạn số ký tự trong thanh tìm kiếm</t>
  </si>
  <si>
    <t xml:space="preserve">1. Người dùng truy cập vào trang CellPhoneS: https://cellphones.com.vn/
2. Người dùng click vào ô tìm kiếm
3. Nhập một chuỗi dài hơn số ký tự giới hạn như 1 tờ báo
4. Nhấn Enter và quan sát
</t>
  </si>
  <si>
    <t>Kiểm tra hiển thị danh mục sản phẩm</t>
  </si>
  <si>
    <t xml:space="preserve">1. Người dùng truy cập vào trang CellPhoneS: https://cellphones.com.vn/
2. Người dùng click vào nút Danh mục
</t>
  </si>
  <si>
    <t>1. Trang web sẽ hiện ra màn hình [Trang chủ] và thanh tìm kiếm nằm ở trên đầu trang. 
2. Hiển thị bảng danh sách các danh mục.</t>
  </si>
  <si>
    <t>1. Trang web sẽ hiện ra màn hình [Trang chủ] và thanh tìm kiếm nằm ở trên đầu trang. 
2. Hiển thị bảng danh sách các danh mục.
3. Toàn bộ nút danh mục đều có thể nhấp được.</t>
  </si>
  <si>
    <t xml:space="preserve">	Kiểm tra hiển thị nút "So sánh" trên kết quả</t>
  </si>
  <si>
    <t>1. Người dùng truy cập vào trang CellPhoneS: https://cellphones.com.vn/
2. Người dùng click vào ô tìm kiếm
3. Nhập từ khóa
4. Nhấn Enter
5. Quan sát trên mỗi sản phẩm kết quả.</t>
  </si>
  <si>
    <t>5. Hiển thị nút "So sánh" để so sánh sản phẩm.</t>
  </si>
  <si>
    <t>Kiểm tra hiển thị nút "Yêu thích" trên kết quả tìm kiếm</t>
  </si>
  <si>
    <t>5. Hiển thị nút "Yêu thích" để thêm vào danh sách yêu thích của người dùng.</t>
  </si>
  <si>
    <t>Kiểm tra lọc sản phẩm theo khoảng giá</t>
  </si>
  <si>
    <t>1. Người dùng truy cập vào trang CellPhoneS: https://cellphones.com.vn/
2. Người dùng click vào nút Danh mục
3. Truy cập một danh mục
4. Chọn khoảng giá</t>
  </si>
  <si>
    <t>1. Trang web sẽ hiện ra màn hình [Trang chủ] và thanh tìm kiếm nằm ở trên đầu trang. 
2. Hiển thị bảng danh sách các danh mục.
3. Hiển thị danh sách các sản phẩm của danh mục đó
4. Hiển thị lại danh sách với khoảng giá đã chọn</t>
  </si>
  <si>
    <t>Kiểm tra chọn nhiều bộ lọc cùng lúc</t>
  </si>
  <si>
    <t>1. Người dùng truy cập vào trang CellPhoneS: https://cellphones.com.vn/
2. Người dùng click vào nút Danh mục
3. Truy cập một danh mục
4. Chọn nhiều bộ lọc cùng lúc như khoảng giá và sẵn hàng</t>
  </si>
  <si>
    <t>1. Trang web sẽ hiện ra màn hình [Trang chủ] và thanh tìm kiếm nằm ở trên đầu trang. 
2. Hiển thị bảng danh sách các danh mục.
3. Hiển thị danh sách các sản phẩm của danh mục đó
4. Hiển thị lại danh sách đúng với các bộ lọc đã chọn</t>
  </si>
  <si>
    <t>Kiểm tra khi xóa từng bộ lọc đã chọn.</t>
  </si>
  <si>
    <t>1. Người dùng truy cập vào trang CellPhoneS: https://cellphones.com.vn/
2. Người dùng click vào nút Danh mục
3. Truy cập một danh mục
4. Chọn nhiều bộ lọc cùng lúc như khoảng giá và sẵn hàng
5. Nhấn xóa bộ lọc khoảng giá</t>
  </si>
  <si>
    <t>5.  Hệ thống hiển thị tất cả sản phẩm đang sẵn hàng (không áp dụng bộ lọc khoảng giá).</t>
  </si>
  <si>
    <t>Kiểm tra việc xóa toàn bộ bộ lọc.</t>
  </si>
  <si>
    <t>1. Người dùng truy cập vào trang CellPhoneS: https://cellphones.com.vn/
2. Người dùng click vào nút Danh mục
3. Truy cập một danh mục
4. Chọn nhiều bộ lọc cùng lúc như khoảng giá và sẵn hàng
5. Nhấn xóa tất cả bộ lọc</t>
  </si>
  <si>
    <t>5.  Hệ thống hiển thị tất cả sản phẩm của danh mục đó</t>
  </si>
  <si>
    <t>Kiểm tra khi người dùng bấm nút tìm kiếm mà không nhập từ khóa.</t>
  </si>
  <si>
    <t>1. Người dùng truy cập vào trang CellPhoneS: https://cellphones.com.vn/
2. Nhấn nút tìm kiếm mà không nhập bất kỳ ký tự nào.</t>
  </si>
  <si>
    <t>2. Hệ thống hiển thị thông báo: "Vui lòng nhập từ khóa để tìm kiếm."</t>
  </si>
  <si>
    <t>Kiểm tra sắp xếp sản phẩm từ thấp đến cao</t>
  </si>
  <si>
    <t>5. Hệ thống sẽ hiển thị kết quả tìm kiếm với giá từ cao đến thấp</t>
  </si>
  <si>
    <t>Kiểm tra sắp xếp sản phẩm từ cao đến thấp</t>
  </si>
  <si>
    <t>1. Người dùng truy cập vào trang CellPhoneS: https://cellphones.com.vn/
2. Người dùng click vào ô tìm kiếm
3. Nhập từ khóa
4. Nhấn Enter và quan sát
5. Nhấn vào nút "sắp xếp giá thấp"</t>
  </si>
  <si>
    <t>5. Hệ thống sẽ hiển thị kết quả tìm kiếm với giá từ thấp đến cao</t>
  </si>
  <si>
    <t>Kiểm tra lọc sản phẩm theo hàng có sẵn</t>
  </si>
  <si>
    <t>1. Người dùng truy cập vào trang CellPhoneS: https://cellphones.com.vn/
2. Người dùng click vào nút Danh mục
3. Truy cập một danh mục
4. Chọn lọc theo "Sẵn hàng"</t>
  </si>
  <si>
    <t>1. Trang web sẽ hiện ra màn hình [Trang chủ] và thanh tìm kiếm nằm ở trên đầu trang. 
2. Hiển thị bảng danh sách các danh mục.
3. Hiển thị danh sách các sản phẩm của danh mục đó
4. Hiển thị lại danh sách với các sản phẩm sẵn hàng</t>
  </si>
  <si>
    <t>Kiểm tra tính năng tìm kiếm khi từ khóa có dấu cách thừa</t>
  </si>
  <si>
    <t>1. Người dùng truy cập vào trang CellPhoneS: https://cellphones.com.vn/
2. Người dùng click vào ô tìm kiếm
3. Người dùng nhập từ khóa "iPhone 13  " (có khoảng trắng thừa) vào thanh tìm kiếm và quan sát</t>
  </si>
  <si>
    <t>1. Trang web sẽ hiện ra màn hình [Trang chủ] và thanh tìm kiếm nằm ở trên đầu trang. 
2. Hiển thị các xu hướng tìm kiếm đang hot hiện nay
3. Hệ thống tự động loại bỏ khoảng trắng thừa và hiển thị các kết quả liên quan đến "iPhone 13".</t>
  </si>
  <si>
    <t>Xác minh rằng không có bất kỳ lỗi chính tả nào trên văn bản liên kết.</t>
  </si>
  <si>
    <t>5. Không có lỗi chính tả nào trên sản phẩm kết quả</t>
  </si>
  <si>
    <t>Kiểm tra tính năng lọc sản phẩm khi không có sản phẩm nào phù hợp với bộ lọc</t>
  </si>
  <si>
    <t xml:space="preserve">1. Người dùng truy cập vào trang CellPhoneS: https://cellphones.com.vn/
2. Người dùng click vào nút Danh mục
3. Truy cập một danh mục
4. Chọn bộ lọc chênh lệch không có sản phẩm phù hợp như phụ kiện giá 50tr
</t>
  </si>
  <si>
    <t>4. Hệ thống hiển thị thông báo "Không có sản phẩm phù hợp với tiêu chí bạn tìm".</t>
  </si>
  <si>
    <t>1. Người dùng truy cập vào trang CellPhoneS: https://cellphones.com.vn/
2. Người dùng click vào nút Danh mục
3. Chọn ngẫu nhiên vài bộ lọc rồi quan sát bộ lọc thông minh tạo ra.</t>
  </si>
  <si>
    <t>3. Bộ lọc phải phù hợp với từng danh mục như mô tả trong SRS</t>
  </si>
  <si>
    <t>Kiểm tra sắp xếp sản phẩm theo % khuyến mãi</t>
  </si>
  <si>
    <t>1. Người dùng truy cập vào trang CellPhoneS: https://cellphones.com.vn/
2. Người dùng click vào ô tìm kiếm
3. Nhập từ khóa
4. Nhấn Enter và quan sát
5. Nhấn vào nút "% khuyến mãi"</t>
  </si>
  <si>
    <t xml:space="preserve">5. Hệ thống sẽ hiển thị kết quả tìm kiếm với % khuyến mãi giảm dần </t>
  </si>
  <si>
    <t>Kiểm tra tính năng hiển thị bộ lọc thông minh đối với nhiều danh mục khác nhau</t>
  </si>
  <si>
    <t>Kiểm tra hiển thị nút "Xem thêm" khi có nhiều sản phẩm</t>
  </si>
  <si>
    <t>4. Hiển thị nút "Xem thêm + bao nhiêu sản phẩm" nếu danh sách sản phẩm vượt quá 20 sản phẩm.</t>
  </si>
  <si>
    <t>Kiểm tra tải thêm sản phẩm khi nhấn "Xem thêm"</t>
  </si>
  <si>
    <t>1. Người dùng truy cập vào trang CellPhoneS: https://cellphones.com.vn/
2. Người dùng click vào ô tìm kiếm
3. Nhập từ khóa
4. Nhấn Enter
5. Kéo xuống phân trang nhấn "Xem thêm" và quan sát</t>
  </si>
  <si>
    <t>5.Tải thêm 20 sản phẩm mới, không tải lại toàn bộ trang.</t>
  </si>
  <si>
    <t>Kiểm tra sắp xếp sản phẩm theo lượt xem nhiều</t>
  </si>
  <si>
    <t>1. Người dùng truy cập vào trang CellPhoneS: https://cellphones.com.vn/
2. Người dùng click vào ô tìm kiếm
3. Nhập từ khóa
4. Nhấn Enter
5. Nhấn vào nút "Xem nhiều" trong bộ lọc và quan sát</t>
  </si>
  <si>
    <t>1. Người dùng truy cập vào trang CellPhoneS: https://cellphones.com.vn/
2. Người dùng click vào ô tìm kiếm
3. Nhập từ khóa
4. Nhấn Enter 
5. Nhấn vào nút "sắp xếp giá cao" trong bộ lọc và quan sát</t>
  </si>
  <si>
    <t>5. Hệ thống sẽ hiển thị kết quả tìm kiếm lượt mua nhiều nhất</t>
  </si>
  <si>
    <t>Kiểm tra khi hover vào biểu tượng yêu thích trong từng kết quả tìm kiếm</t>
  </si>
  <si>
    <t>5. Biểu tượng yêu thích sẽ thay đổi màu nền, phóng to, nhấp nháy</t>
  </si>
  <si>
    <t>Kiểm tra phân trang khi không có sản phẩm nào (trang rỗng)</t>
  </si>
  <si>
    <t>1. Người dùng truy cập vào trang CellPhoneS: https://cellphones.com.vn/
2. Người dùng click vào ô tìm kiếm
3. Nhập từ khóa
4. Nhấn Enter
5. Áp dụng bộ lọc sản phẩm để có kết quả không có sản phẩm nào (ví dụ: chọn một thương hiệu không có sản phẩm) và quan sát</t>
  </si>
  <si>
    <t>5. Hệ thống không hiển thị phân trang hoặc hiển thị thông báo không có sản phẩm.</t>
  </si>
  <si>
    <t>Kiểm tra việc phân trang khi trang được làm mới (refresh)</t>
  </si>
  <si>
    <t>1. Người dùng truy cập vào trang CellPhoneS: https://cellphones.com.vn/
2. Người dùng click vào ô tìm kiếm
3. Nhập từ khóa
4. Nhấn Enter
5. Kéo xuống phân trang nhấn "Xem thêm"
6. Nhấn refresh trang và quan sát</t>
  </si>
  <si>
    <t>Kiểm tra phân trang trên các thiết bị di động</t>
  </si>
  <si>
    <t xml:space="preserve">1. Người dùng truy cập vào trang CellPhoneS bằng di động: https://cellphones.com.vn/
2. Người dùng click vào ô tìm kiếm
3. Nhập từ khóa
4. Nhấn Enter
5. Kéo xuống phân trang nhấn "Xem thêm"
</t>
  </si>
  <si>
    <t>5. Các sản phẩm được phân trang đúng trên giao diện di động và khả năng di chuyển giữa các trang không bị lỗi.</t>
  </si>
  <si>
    <t>Kiểm tra nút lên đầu trang khi bấm xem thêm quá nhiều sản phẩm</t>
  </si>
  <si>
    <t xml:space="preserve">1. Người dùng truy cập vào trang CellPhoneS bằng di động: https://cellphones.com.vn/
2. Người dùng click vào ô tìm kiếm
3. Nhập từ khóa
4. Nhấn Enter
5. Kéo xuống phân trang nhấn "Xem thêm"
6. Nhấn biểu tượng cuộn lên đầu trang
</t>
  </si>
  <si>
    <t>6. Chuyển người dùng về đầu trang mà không bị lỗi.</t>
  </si>
  <si>
    <t>SearchAndFilter</t>
  </si>
  <si>
    <t>Requirement Level 1</t>
  </si>
  <si>
    <t>Requirement Level 2</t>
  </si>
  <si>
    <t>Requirement Level 3</t>
  </si>
  <si>
    <t>Test Criteria</t>
  </si>
  <si>
    <t>Test Type</t>
  </si>
  <si>
    <t>Reviewer</t>
  </si>
  <si>
    <t>Hiển thị</t>
  </si>
  <si>
    <t>Kiểm tra giao diện thanh tìm kiếm ở màn hình [Trang chủ]</t>
  </si>
  <si>
    <t>GUI</t>
  </si>
  <si>
    <t>Kiểm tra giao diện của màn hình [Kết quả tìm kiếm] có giống với mô tả trong SRS</t>
  </si>
  <si>
    <t>Kiểm tra việc hiển thị màn hình [Danh mục] bằng cách nhấn nút [Danh mục] trên đầu trang chủ</t>
  </si>
  <si>
    <t>Function</t>
  </si>
  <si>
    <t>Kiểm tra giao diện của màn hình [Danh mục] có giống với mô tả trong SRS</t>
  </si>
  <si>
    <t>Kiểm tra việc hiển thị các tùy chọn của từng danh mục khi hover vào các danh mục con trong [Bảng danh mục]</t>
  </si>
  <si>
    <t>1.1 Chức năng tìm kiếm và lọc sản phẩm</t>
  </si>
  <si>
    <t>1.1.1 Chức Năng Tìm Kiếm</t>
  </si>
  <si>
    <t>Tìm kiếm theo từ khóa</t>
  </si>
  <si>
    <t>Kiểm tra tốc độ phản hồi của gợi ý tự động khi người dùng nhập từ khóa.</t>
  </si>
  <si>
    <t>Kiểm tra hệ thống có hỗ trợ tìm kiếm các từ viết tắt hoặc ký tự viết hoa/viết thường.</t>
  </si>
  <si>
    <t>Kiểm tra độ chính xác của từ khóa gợi ý so với từ khóa phổ biến hoặc liên quan.</t>
  </si>
  <si>
    <t>Kiểm tra khi nhập ký tự đặc biệt hoặc các ký tự không hợp lệ, hệ thống sẽ từ chối và hiện thông báo lỗi phù hợp.</t>
  </si>
  <si>
    <t>Tìm kiếm theo danh mục</t>
  </si>
  <si>
    <t>Kiểm tra hiệu ứng hover khi di chuột qua các danh mục (làm sáng, đổi màu, phóng to)</t>
  </si>
  <si>
    <t>Kiểm tra hệ thống thông báo [Không có kết quả bạn cần tìm] khi không có sản phẩm nào khớp với từ khóa.</t>
  </si>
  <si>
    <t>Kiểm tra trên mỗi kết quả sản phẩm có nút [So sánh] để so sánh một sản phẩm này với sản phẩm khác</t>
  </si>
  <si>
    <t>Kiểm tra trên mỗi kết quả sản phẩm có nút [Yêu thích] để thêm vào danh sách yêu thích của người dùng.</t>
  </si>
  <si>
    <t>1.1.3 Lọc sản phẩm</t>
  </si>
  <si>
    <t>Chọn tiêu chí lọc và sắp xếp</t>
  </si>
  <si>
    <t>Kiểm tra các tiêu chí sắp xếp bao gồm % khuyến mãi, giá, và xem nhiều hoạt động chính xác.</t>
  </si>
  <si>
    <t>Kiểm tra bộ lọc giá hoạt động đúng khi người dùng chọn khoảng giá cụ thể, chỉ hiển thị sản phẩm trong khoảng đó.</t>
  </si>
  <si>
    <t>Kiểm tra hiển thị các sản phẩm với các mức giá khác nhau khi người dùng sử dụng bộ lọc giá với giá trị cực đại/cực tiểu.</t>
  </si>
  <si>
    <t>Kiểm tra người dùng có thể kết hợp nhiều bộ lọc (như giá, thương hiệu) và kết quả trả về đáp ứng tất cả điều kiện.</t>
  </si>
  <si>
    <t>Áp dụng bộ lọc và sắp xếp</t>
  </si>
  <si>
    <t>Kiểm tra khi người dùng chọn tiêu chí lọc, hệ thống sẽ cập nhật danh sách sản phẩm mà không tải lại trang.</t>
  </si>
  <si>
    <t>Kiểm tra hệ thống hiển thị đúng danh sách sản phẩm khi áp dụng các bộ lọc đã chọn.</t>
  </si>
  <si>
    <t>Xóa bộ lọc</t>
  </si>
  <si>
    <t>Kiểm tra người dùng có thể bỏ chọn từng bộ lọc để hiển thị lại toàn bộ sản phẩm.</t>
  </si>
  <si>
    <t>1.1.4 Phân trang sản phẩm</t>
  </si>
  <si>
    <t>Phân trang</t>
  </si>
  <si>
    <t>Kiểm tra phân trang sẽ reset về trang đầu tiên khi áp dụng hoặc thay đổi bộ lọc</t>
  </si>
  <si>
    <t>Kiểm tra khi người dùng chỉ click vào [Thanh tìm kiếm], hệ thống sẽ tự động gợi ý xu hướng tìm kiếm phổ biến hiện tại.</t>
  </si>
  <si>
    <t>Kiểm tra khi người dùng nhập ký tự vào [Thanh tìm kiếm], hệ thống sẽ gợi ý các từ khóa liên quan mà không cần nhập hết từ khóa.</t>
  </si>
  <si>
    <t>Kiểm tra việc hiển thị màn hình [Danh mục] khi nhấm vào button Danh mục</t>
  </si>
  <si>
    <t>1. Người dùng truy cập vào trang CellPhoneS: https://cellphones.com.vn/
2. Người dùng click vào nút Danh mục và quan sát</t>
  </si>
  <si>
    <t>1. Trang web sẽ hiện ra màn hình [Trang chủ] và thanh tìm kiếm nằm ở trên đầu trang. 
2. Hiển thị bảng danh sách các danh mục giống với mô tả trong SRS</t>
  </si>
  <si>
    <t>Kiểm tra việc lưu trữ lịch sử tìm kiếm để người dùng có thể truy cập nhanh các từ khóa đã tìm trước đó khi người dùng nhấn vào [Thanh tìm kiếm]</t>
  </si>
  <si>
    <t>Kiểm tra khi nhấn nút [Xóa tất cả] lịch sử tìm kiếm trên [Thanh tìm kiếm]</t>
  </si>
  <si>
    <t>Kiểm tra nếu từ khóa nhập vào không có trong hệ thống, hệ thống sẽ thông báo ra màn hình "Không có kết quả bạn cần tìm".</t>
  </si>
  <si>
    <t>Kiểm tra người dùng có thể di chuột lên màn hình [Danh mục] và chọn bất kỳ danh mục nào.</t>
  </si>
  <si>
    <t>Kiểm tra việc hiển thị màn hình [Bộ lọc sản phẩm] bằng cách nhấn vào nút hình phểu hiển thị trên kết quả tìm kiếm</t>
  </si>
  <si>
    <t>Kiểm tra giao diện [Bộ lọc sản phẩm] có giống với mô tả trong SRS</t>
  </si>
  <si>
    <t>Kiểm tra giao diện [Danh sách bộ lọc và sắp xếp] có giống với mô tả trong SRS</t>
  </si>
  <si>
    <t>Kiểm tra việc hiển thị [Danh sách bộ lọc và sắp xếp sau khi nhấn biểu tượng [Tìm kiếm]</t>
  </si>
  <si>
    <t>Kiểm tra việc hiển thị kết quả lọc và sắp xếp sau khi bấm vào bất kỳ tùy chọn nào trong [Danh sách lọc và sắp xếp]</t>
  </si>
  <si>
    <t>Kiểm tra người dùng có thể lọc sản phẩm theo bất kỳ tùy chọn lọc nào như khoảng giá, sẵn hàng, thương hiệu, chức năng, v.v.</t>
  </si>
  <si>
    <t>Kiểm tra trường hợp nhấn nút [Xem kết quả] ở màn hình [Bộ lọc sản phẩm]</t>
  </si>
  <si>
    <t>Kiểm tra trường hợp nhấn nút [Đóng] ở màn hình [Bộ lọc sản phẩm]</t>
  </si>
  <si>
    <t>Kiểm tra trường hợp nhất nút [X] ở từng tiêu chí đã lọc</t>
  </si>
  <si>
    <t>Kiểm tra trường hợp nhất nút [Bỏ chọn tất cả]</t>
  </si>
  <si>
    <t>Kiểm tra giao diện [Kết quả tìm kiếm] có tự động cập nhật khi thay đổi tiêu chí lọc, bao gồm số lượng sản phẩm hiển thị.</t>
  </si>
  <si>
    <t>Kiểm tra khi số lượng sản phẩm lớn hơn 20, hệ thống hiển thị nút [Xem thêm] ở cuối màn hình [Kết quả tìm kiếm]</t>
  </si>
  <si>
    <t>Kiểm tra hệ thống tải thêm sản phẩm mà không tải lại toàn bộ trang khi người dùng nhấn [Xem thêm].</t>
  </si>
  <si>
    <t>Kiểm tra việc hiển thị giao diện phân trang có giống với mô tả trong SRS</t>
  </si>
  <si>
    <t>Kiểm tra kết quả trong màn hình [Kết quả tìm kiếm] bao gồm hình ảnh sản phẩm, tên sản phẩm, giá bán, ưu đãi (nếu có), đánh giá từ người mua, và trạng thái kho giống với mô tả trong SRS</t>
  </si>
  <si>
    <t>Kiểm tra việc điều hướng đến trang [Chi tiết sản phẩm] khi nhấn vào bất kỳ kết quả nào trong danh sách [Kết quả tìm kiếm].</t>
  </si>
  <si>
    <t>Kiểm tra người dùng có thể nhập từ khóa (tên sản phẩm, thương hiệu, loại sản phẩm) vào [Thanh tìm kiếm] và nhận được gợi ý tự động.</t>
  </si>
  <si>
    <t>Kiểm tra khi người dùng nhập từ khóa với lỗi chính tả vào [Thanh tìm kiếm], hệ thống sẽ gợi ý từ khóa đúng hoặc gần đúng</t>
  </si>
  <si>
    <t>Kiểm tra khi người dùng chọn sản phẩm từ gợi ý, hệ thống sẽ chuyển đến trang [Chi tiết của sản phẩm].</t>
  </si>
  <si>
    <t>Kiểm tra hệ thống giới hạn số ký tự tối đa mà người dùng có thể nhập vào [Thanh tìm kiếm].</t>
  </si>
  <si>
    <t>Kiểm tra nút "Xóa tất cả" ở phần lịch sử tìm kiếm</t>
  </si>
  <si>
    <t>1. Người dùng truy cập vào trang CellPhoneS: https://cellphones.com.vn/
2. Người dùng click vào ô tìm kiếm
3. Người dùng nhấn nút "Xóa tất cả" ở lịch sử tìm kiếm và quan sát</t>
  </si>
  <si>
    <t>1. Trang web sẽ hiện ra màn hình [Trang chủ] và thanh tìm kiếm nằm ở trên đầu trang. 
2. Hiển thị các xu hướng tìm kiếm đang hot hiện nay
3. Hệ thống sẽ xóa tất cả lịch sử tìm kiếm</t>
  </si>
  <si>
    <t>4. Hệ thống giới hạn độ dài chuỗi nhập vào (chỉ cho phép nhập tối đa 80 ký tự) và hiển thị thông báo nếu vượt quá giới hạn.</t>
  </si>
  <si>
    <t xml:space="preserve">1. Người dùng truy cập vào trang CellPhoneS: https://cellphones.com.vn/
2. Người dùng click vào nút Danh mục
3. Người dùng nhấn vào tùy chọn danh mục nào đó trong bảng danh mục
</t>
  </si>
  <si>
    <t>Kiểm tra việc hiển thị danh sách các tiêu chí lựa chọn riêng biệt của mỗi danh mục</t>
  </si>
  <si>
    <t>1. Người dùng truy cập vào trang CellPhoneS: https://cellphones.com.vn/
2. Người dùng click vào nút Danh mục
3. Người dùng hover vào một danh mục bất kỳ quan sát</t>
  </si>
  <si>
    <t>1. Trang web sẽ hiện ra màn hình [Trang chủ] và thanh tìm kiếm nằm ở trên đầu trang. 
2. Hiển thị bảng danh sách các danh mục.
3. Hiển thị ra tất cả các tiêu chí chọn lựa riêng biệt</t>
  </si>
  <si>
    <t>Kiểm tra toàn bộ tùy chọn trên màn hình [Danh mục] có thể nhấp vào được.</t>
  </si>
  <si>
    <t>Kiểm tra danh sách các tiêu chí lựa chọn đều có thể nhấp được</t>
  </si>
  <si>
    <t>1. Người dùng truy cập vào trang CellPhoneS: https://cellphones.com.vn/
2. Người dùng click vào nút Danh mục
3. Người dùng hover vào một danh mục bất kỳ
4. Người dùng nhấn chọn tùy chọn bất kỳ trong bảng danh sách các tiêu chí</t>
  </si>
  <si>
    <t>1. Trang web sẽ hiện ra màn hình [Trang chủ] và thanh tìm kiếm nằm ở trên đầu trang. 
2. Hiển thị bảng danh sách các danh mục.
3. Hiển thị ra tất cả các tiêu chí chọn lựa riêng biệt
4. Tất cả các tiêu chí lựa chọn đều có thể nhấp được</t>
  </si>
  <si>
    <t>1. Người dùng truy cập vào trang CellPhoneS: https://cellphones.com.vn/
2. Người dùng click vào nút Danh mục
3. Hover vào danh mục chọn một tiêu chí lựa chọn và quan sát kết quả</t>
  </si>
  <si>
    <t>1. Trang web sẽ hiện ra màn hình [Trang chủ] và thanh tìm kiếm nằm ở trên đầu trang. 
2. Hiển thị danh sách các danh mục
3. Giao diện hiển thị Danh sách bộ lọc sản phẩm giống với mô tả trong SRS</t>
  </si>
  <si>
    <t>Kiểm tra giao diện màn hình [Danh sách bộ lọc sản phẩm và sắp xếp] khi tìm kiếm theo từ khóa</t>
  </si>
  <si>
    <t>Kiểm tra giao diện [Danh sách bộ lọc sản phẩm và sắp xếp] khi tìm kiếm theo danh mục</t>
  </si>
  <si>
    <t>Kiểm tra giao diện [Bộ lọc sản phẩm] khi tìm kiếm theo danh mục</t>
  </si>
  <si>
    <t>1. Người dùng truy cập vào trang CellPhoneS: https://cellphones.com.vn/
2. Người dùng click vào nút Danh mục
3. Hover vào danh mục chọn một tiêu chí lựa chọn
4. Người dùng click vào biểu tượng lọc hình phễu và quan sát kết quả</t>
  </si>
  <si>
    <t>1. Trang web sẽ hiện ra màn hình [Trang chủ] và thanh tìm kiếm nằm ở trên đầu trang. 
2. Hiển thị danh sách các danh mục
3. Hiển thị trang [Kết quả tìm kiếm] với danh sách các bộ lọc
4. Hiển thị [Bộ lọc sản phẩm] giống với mô tả trong SRS</t>
  </si>
  <si>
    <t>Kiểm tra phím CTRL+Chuột theo chiều hướng vào trong, giao diện hiển thị nhỏ lại tùy theo độ zoom mà không bị lệch giữa các phần</t>
  </si>
  <si>
    <t>Kiểm tra phím CTRL+Chuột theo chiều hướng ra ngoài, giao diện hiển thị to lên tùy theo độ zoom mà không bị lệch giữa các phần</t>
  </si>
  <si>
    <t>Kiểm tra giao diện của website trên các web browser khác nhau
 * Ví dụ: Cốc cốc, IE, Firefox, Opera Mini,…</t>
  </si>
  <si>
    <t>1. Người dùng truy cập vào trang CellPhoneS: https://cellphones.com.vn/
2. Người dùng click vào ô tìm kiếm
3. Nhập từ khóa
4. Nhấn Enter
5. Nhấn CTRL+Chuột theo chiều hướng vào trong và quan sát</t>
  </si>
  <si>
    <t>1. Trang web sẽ hiện ra màn hình [Trang chủ] và thanh tìm kiếm nằm ở trên đầu trang. 
2. Hiển thị các xu hướng tìm kiếm đang hot hiện nay
4. Giao diện hiển thị bộ lọc sản phẩm giống với mô tả trong SRS
5.  Có thể thao tác Zoom In</t>
  </si>
  <si>
    <t>1. Người dùng truy cập vào trang CellPhoneS: https://cellphones.com.vn/
2. Người dùng click vào ô tìm kiếm
3. Nhập từ khóa
4. Nhấn Enter
5. Nhấn CTRL+Chuột theo chiều hướng ra ngoài và quan sát</t>
  </si>
  <si>
    <t>1. Trang web sẽ hiện ra màn hình [Trang chủ] và thanh tìm kiếm nằm ở trên đầu trang. 
2. Hiển thị các xu hướng tìm kiếm đang hot hiện nay
4. Giao diện hiển thị bộ lọc sản phẩm giống với mô tả trong SRS
5.  Có thể thao tác Zoom Out</t>
  </si>
  <si>
    <t>1. Người dùng truy cập vào trang CellPhoneS: https://cellphones.com.vn/
2. Người dùng click vào ô tìm kiếm
3. Nhập từ khóa
4. Nhấn Enter
5. Kiểm tra website trên các web browser khác nhau và quan sát</t>
  </si>
  <si>
    <t>1. Trang web sẽ hiện ra màn hình [Trang chủ] và thanh tìm kiếm nằm ở trên đầu trang. 
2. Hiển thị các xu hướng tìm kiếm đang hot hiện nay
4. Giao diện hiển thị bộ lọc sản phẩm giống với mô tả trong SRS
5.  Giao diện website vẫn hiển thị tốt trên các web browser khác nhau, không bị bể, lệch</t>
  </si>
  <si>
    <t>Kiểm tra toàn bộ [Danh sách lọc] sản phẩm đều có thể nhấp được</t>
  </si>
  <si>
    <t>1. Trang web sẽ hiện ra màn hình [Trang chủ] và thanh tìm kiếm nằm ở trên đầu trang. 
2. Hiển thị bảng danh sách các danh mục.
3. Hiển thị danh sách các sản phẩm của danh mục đó
4. Tất cả các nút trong bộ lọc đều có thể nhấn được và hiển thị lại danh sách với bộ lọc đã chọn</t>
  </si>
  <si>
    <t>1. Người dùng truy cập vào trang CellPhoneS: https://cellphones.com.vn/
2. Người dùng click vào nút Danh mục
3. Truy cập một danh mục
4. Chọn bất kỳ bộ lọc sản phẩm nào
và quan sát</t>
  </si>
  <si>
    <t>Kiểm tra việc chọn nhiều tiêu chí lọc trên màn hình [Bộ lọc sản phẩm] và nhấn "Xem tất cả"</t>
  </si>
  <si>
    <t>1. Người dùng truy cập vào trang CellPhoneS: https://cellphones.com.vn/
2. Người dùng click vào nút Danh mục
3. Truy cập một danh mục
4. Nhấn vào biểu tượng bộ lọc hình phểu
5. Chọn nhiều tiêu chí lọc nhấn "Xem tất cả"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</si>
  <si>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Hiển thị lại [Kết quả tìm kiếm] theo các tiêu chí lọc đã chọn</t>
  </si>
  <si>
    <t>Kiểm tra việc chọn nhiều tiêu chí lọc trên màn hình [Bộ lọc sản phẩm] và nhấn "Đóng"</t>
  </si>
  <si>
    <t>1. Người dùng truy cập vào trang CellPhoneS: https://cellphones.com.vn/
2. Người dùng click vào nút Danh mục
3. Truy cập một danh mục
4. Nhấn vào biểu tượng bộ lọc hình phểu
5. Chọn nhiều tiêu chí lọc nhấn "Đóng"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</si>
  <si>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Không áp dụng bộ lọc</t>
  </si>
  <si>
    <t>Kiểm tra việc chọn nhiều tiêu chí lọc trên màn hình [Bộ lọc sản phẩm] và nhấn "Đóng" hệ thống có lưu lại những tiêu chí đã chọn</t>
  </si>
  <si>
    <t>1. Người dùng truy cập vào trang CellPhoneS: https://cellphones.com.vn/
2. Người dùng click vào nút Danh mục
3. Truy cập một danh mục
4. Nhấn vào biểu tượng bộ lọc hình phểu
5. Chọn nhiều tiêu chí lọc nhấn "Đóng"
6. Nhấn lại vào biểu tượng bộ lọc hình phểu và quan sát</t>
  </si>
  <si>
    <t>1. Trang web sẽ hiện ra màn hình [Trang chủ] và thanh tìm kiếm nằm ở trên đầu trang. 
2. Hiển thị bảng danh sách các danh mục.
3. Hiển thị danh sách các sản phẩm của danh mục đó
4. Hiển thị màn hình [Bộ lọc sản phẩm]
5. Không áp dụng bộ lọc
6. Hiển thị màn hình [Bộ lọc sản phẩm] với các tiêu chí lọc chọn sẵn nhưng chưa áp dụng</t>
  </si>
  <si>
    <t>1. Người dùng truy cập vào trang CellPhoneS: https://cellphones.com.vn/
2. Người dùng click vào ô tìm kiếm
3. Nhập từ khóa
4. Nhấn Enter 
5. Hover vào một sản phẩm của kết quả tìm kiếm</t>
  </si>
  <si>
    <t>Kiểm tra giao diện màn hình [Kết quả tìm kiếm] khi tìm kiếm bằng từ khóa</t>
  </si>
  <si>
    <t>Kiểm tra giao diện màn hình [Kết quả tìm kiếm] khi tìm kiếm bằng danh mục</t>
  </si>
  <si>
    <t>1. Người dùng truy cập vào trang CellPhoneS: https://cellphones.com.vn/
2. Người dùng click vào nút Danh mục
3. Chọn ngẫu nhiên một danh mục rồi quan sát kết quả</t>
  </si>
  <si>
    <t>1. Trang web sẽ hiện ra màn hình [Trang chủ] và thanh tìm kiếm nằm ở trên đầu trang. 
2. Hiển thị bảng danh sách các danh mục.
3. Giao diện hiển thị kết quả tìm kiếm giống với mô tả trong SRS</t>
  </si>
  <si>
    <t>Kiểm tra nút "X" trên từng lịch sử tìm kiếm</t>
  </si>
  <si>
    <t>1. Người dùng truy cập vào trang CellPhoneS: https://cellphones.com.vn/
2. Người dùng click vào ô tìm kiếm
3. Người dùng nhấn nút "X" ở một lịch sử tìm kiếm và quan sát</t>
  </si>
  <si>
    <t>1. Trang web sẽ hiện ra màn hình [Trang chủ] và thanh tìm kiếm nằm ở trên đầu trang. 
2. Hiển thị các xu hướng tìm kiếm đang hot hiện nay
3. Hệ thống sẽ xóa lịch sử tìm kiếm đó</t>
  </si>
  <si>
    <t>Kiểm tra việc hiển thị giao diện lịch sử tìm kiếm khi nhấn vào [Thanh tìm kiếm]</t>
  </si>
  <si>
    <t>1. Người dùng truy cập vào trang CellPhoneS: https://cellphones.com.vn/
2. Người dùng click vào ô tìm kiếm
và quan sát</t>
  </si>
  <si>
    <t>1. Trang web sẽ hiện ra màn hình [Trang chủ] và thanh tìm kiếm nằm ở trên đầu trang. 
2. Hiển thị giao diện lịch sử tìm kiếm bên dưới [Thanh tìm kiếm] giống với mô tả trong SRS</t>
  </si>
  <si>
    <t>Kiểm tra việc hiển thị nút "Xóa tất cả" trong phần lịch sử tìm kiếm khi nhấn vào [Thanh tìm kiếm]</t>
  </si>
  <si>
    <t>1. Trang web sẽ hiện ra màn hình [Trang chủ] và thanh tìm kiếm nằm ở trên đầu trang. 
2. Hiển thị nút "Xóa tất cả" trong phần lịch sử tìm kiếm giống với mô tả trong SRS</t>
  </si>
  <si>
    <t>6. Trang vẫn sẽ giữ nguyên là 40 trang chứ không tải lại từ đầu</t>
  </si>
  <si>
    <t>Kiểm tra hiển thị sao đánh giá trên kết quả</t>
  </si>
  <si>
    <t>5. Hiển thị sao đánh giá kèm số rõ ràng bên cạnh.</t>
  </si>
  <si>
    <t>SearchAndFilter_Search_</t>
  </si>
  <si>
    <t>SearchAndFilter_Filter_</t>
  </si>
  <si>
    <t>SearchAndFilter_Pagin_</t>
  </si>
  <si>
    <t>Kiểm tra hover vào một sản phẩm trên màn hình [Kết quả tìm kiếm]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</si>
</sst>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30" x14ac:knownFonts="1">
    <font>
      <sz val="11"/>
      <color rgb="FF000000"/>
      <name val="Calibri"/>
      <scheme val="minor"/>
    </font>
    <font>
      <sz val="10"/>
      <color theme="1"/>
      <name val="Tahoma"/>
      <family val="2"/>
    </font>
    <font>
      <b/>
      <sz val="22"/>
      <color rgb="FFFF0000"/>
      <name val="Tahoma"/>
      <family val="2"/>
    </font>
    <font>
      <b/>
      <sz val="20"/>
      <color rgb="FF000000"/>
      <name val="Tahoma"/>
      <family val="2"/>
    </font>
    <font>
      <sz val="11"/>
      <name val="Calibri"/>
      <family val="2"/>
    </font>
    <font>
      <b/>
      <sz val="10"/>
      <color rgb="FF993300"/>
      <name val="Tahoma"/>
      <family val="2"/>
    </font>
    <font>
      <i/>
      <sz val="10"/>
      <color rgb="FF008000"/>
      <name val="Tahoma"/>
      <family val="2"/>
    </font>
    <font>
      <b/>
      <sz val="10"/>
      <color rgb="FFFFFFFF"/>
      <name val="Tahoma"/>
      <family val="2"/>
    </font>
    <font>
      <b/>
      <sz val="10"/>
      <color rgb="FF000000"/>
      <name val="Tahoma"/>
      <family val="2"/>
    </font>
    <font>
      <b/>
      <sz val="10"/>
      <color rgb="FFFF0000"/>
      <name val="Tahoma"/>
      <family val="2"/>
    </font>
    <font>
      <b/>
      <sz val="10"/>
      <color theme="1"/>
      <name val="Tahoma"/>
      <family val="2"/>
    </font>
    <font>
      <u/>
      <sz val="10"/>
      <color rgb="FF0000FF"/>
      <name val="Tahoma"/>
      <family val="2"/>
    </font>
    <font>
      <sz val="10"/>
      <color rgb="FF000000"/>
      <name val="Tahoma"/>
      <family val="2"/>
    </font>
    <font>
      <sz val="10"/>
      <color rgb="FFFF0000"/>
      <name val="Tahoma"/>
      <family val="2"/>
    </font>
    <font>
      <sz val="10"/>
      <color rgb="FFFFFFFF"/>
      <name val="Tahoma"/>
      <family val="2"/>
    </font>
    <font>
      <b/>
      <sz val="10"/>
      <color rgb="FF0000FF"/>
      <name val="Tahoma"/>
      <family val="2"/>
    </font>
    <font>
      <sz val="10"/>
      <color theme="1"/>
      <name val="Tahoma"/>
      <family val="2"/>
    </font>
    <font>
      <u/>
      <sz val="11"/>
      <color theme="10"/>
      <name val="Calibri"/>
      <family val="2"/>
      <scheme val="minor"/>
    </font>
    <font>
      <sz val="11"/>
      <color rgb="FF000000"/>
      <name val="Calibri"/>
      <family val="2"/>
      <scheme val="minor"/>
    </font>
    <font>
      <b/>
      <sz val="11"/>
      <color rgb="FF000000"/>
      <name val="Times New Roman"/>
      <family val="1"/>
    </font>
    <font>
      <b/>
      <sz val="11"/>
      <color theme="1"/>
      <name val="Times New Roman"/>
      <family val="1"/>
    </font>
    <font>
      <sz val="11"/>
      <color rgb="FF000000"/>
      <name val="Times New Roman"/>
      <family val="1"/>
    </font>
    <font>
      <sz val="11"/>
      <color theme="1"/>
      <name val="Times New Roman"/>
      <family val="1"/>
    </font>
    <font>
      <sz val="11"/>
      <color rgb="FFFF0000"/>
      <name val="Calibri"/>
      <scheme val="minor"/>
    </font>
    <font>
      <sz val="11"/>
      <color rgb="FF000000"/>
      <name val="Calibri"/>
      <scheme val="minor"/>
    </font>
    <font>
      <sz val="10"/>
      <color rgb="FF081B3A"/>
      <name val="Times New Roman"/>
      <family val="1"/>
    </font>
    <font>
      <sz val="10"/>
      <name val="Times New Roman"/>
      <family val="1"/>
    </font>
    <font>
      <sz val="10"/>
      <color theme="1"/>
      <name val="Times New Roman"/>
      <family val="1"/>
    </font>
    <font>
      <i/>
      <sz val="10"/>
      <color rgb="FF008000"/>
      <name val="Times New Roman"/>
      <family val="1"/>
    </font>
    <font>
      <i/>
      <sz val="10"/>
      <color theme="1"/>
      <name val="Times New Roman"/>
      <family val="1"/>
    </font>
  </fonts>
  <fills count="8">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B0F0"/>
        <bgColor rgb="FF00B0F0"/>
      </patternFill>
    </fill>
    <fill>
      <patternFill patternType="solid">
        <fgColor theme="0"/>
        <bgColor rgb="FF00B0F0"/>
      </patternFill>
    </fill>
    <fill>
      <patternFill patternType="solid">
        <fgColor theme="0"/>
        <bgColor indexed="64"/>
      </patternFill>
    </fill>
  </fills>
  <borders count="48">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diagonal/>
    </border>
  </borders>
  <cellStyleXfs count="4">
    <xf numFmtId="0" fontId="0" fillId="0" borderId="0"/>
    <xf numFmtId="0" fontId="17" fillId="0" borderId="0" applyNumberFormat="0" applyFill="0" applyBorder="0" applyAlignment="0" applyProtection="0"/>
    <xf numFmtId="0" fontId="24" fillId="0" borderId="32"/>
    <xf numFmtId="0" fontId="17" fillId="0" borderId="32" applyNumberFormat="0" applyFill="0" applyBorder="0" applyAlignment="0" applyProtection="0"/>
  </cellStyleXfs>
  <cellXfs count="194">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6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65" fontId="1" fillId="0" borderId="17" xfId="0" applyNumberFormat="1" applyFont="1" applyBorder="1" applyAlignment="1">
      <alignment vertical="top"/>
    </xf>
    <xf numFmtId="0" fontId="1" fillId="0" borderId="19" xfId="0" applyFont="1" applyBorder="1" applyAlignment="1">
      <alignment vertical="top"/>
    </xf>
    <xf numFmtId="16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2" fillId="2" borderId="25" xfId="0" applyFont="1" applyFill="1" applyBorder="1"/>
    <xf numFmtId="0" fontId="10" fillId="2" borderId="1" xfId="0" applyFont="1" applyFill="1" applyBorder="1" applyAlignment="1">
      <alignment wrapText="1"/>
    </xf>
    <xf numFmtId="0" fontId="13" fillId="2" borderId="1" xfId="0" applyFont="1" applyFill="1" applyBorder="1" applyAlignment="1">
      <alignment wrapText="1"/>
    </xf>
    <xf numFmtId="0" fontId="12" fillId="2" borderId="1" xfId="0" applyFont="1" applyFill="1" applyBorder="1"/>
    <xf numFmtId="0" fontId="10" fillId="2" borderId="26" xfId="0" applyFont="1" applyFill="1" applyBorder="1" applyAlignment="1">
      <alignment horizontal="left" wrapText="1"/>
    </xf>
    <xf numFmtId="0" fontId="10" fillId="2" borderId="27" xfId="0" applyFont="1" applyFill="1" applyBorder="1" applyAlignment="1">
      <alignment horizontal="left" wrapText="1"/>
    </xf>
    <xf numFmtId="0" fontId="8" fillId="2" borderId="27"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3" fillId="2" borderId="1" xfId="0" applyFont="1" applyFill="1" applyBorder="1" applyAlignment="1">
      <alignment horizontal="center" wrapText="1"/>
    </xf>
    <xf numFmtId="0" fontId="12" fillId="2" borderId="28"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5" xfId="0" applyFont="1" applyFill="1" applyBorder="1" applyAlignment="1">
      <alignment vertical="center" wrapText="1"/>
    </xf>
    <xf numFmtId="0" fontId="12" fillId="2" borderId="1" xfId="0" applyFont="1" applyFill="1" applyBorder="1" applyAlignment="1">
      <alignment horizontal="center" wrapText="1"/>
    </xf>
    <xf numFmtId="0" fontId="9" fillId="2" borderId="1" xfId="0" applyFont="1" applyFill="1" applyBorder="1" applyAlignment="1">
      <alignment horizontal="center" vertical="center" wrapText="1"/>
    </xf>
    <xf numFmtId="0" fontId="13" fillId="2" borderId="1" xfId="0" applyFont="1" applyFill="1" applyBorder="1" applyAlignment="1">
      <alignment vertical="top" wrapText="1"/>
    </xf>
    <xf numFmtId="0" fontId="9" fillId="2" borderId="1" xfId="0" applyFont="1" applyFill="1" applyBorder="1" applyAlignment="1">
      <alignment horizontal="left" vertical="center"/>
    </xf>
    <xf numFmtId="0" fontId="13" fillId="2" borderId="1" xfId="0" applyFont="1" applyFill="1" applyBorder="1"/>
    <xf numFmtId="0" fontId="12" fillId="2" borderId="25" xfId="0" applyFont="1" applyFill="1" applyBorder="1" applyAlignment="1">
      <alignment wrapText="1"/>
    </xf>
    <xf numFmtId="0" fontId="1" fillId="2" borderId="25" xfId="0" applyFont="1" applyFill="1" applyBorder="1" applyAlignment="1">
      <alignment wrapText="1"/>
    </xf>
    <xf numFmtId="0" fontId="7" fillId="3" borderId="5"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12" fillId="2" borderId="1" xfId="0" applyFont="1" applyFill="1" applyBorder="1" applyAlignment="1">
      <alignment vertical="top"/>
    </xf>
    <xf numFmtId="0" fontId="10" fillId="2" borderId="1" xfId="0" applyFont="1" applyFill="1" applyBorder="1"/>
    <xf numFmtId="165" fontId="1" fillId="2" borderId="1" xfId="0" applyNumberFormat="1" applyFont="1" applyFill="1" applyBorder="1"/>
    <xf numFmtId="0" fontId="5" fillId="2" borderId="5" xfId="0" applyFont="1" applyFill="1" applyBorder="1" applyAlignment="1">
      <alignment horizontal="left" vertical="center"/>
    </xf>
    <xf numFmtId="0" fontId="5" fillId="2" borderId="29" xfId="0" applyFont="1" applyFill="1" applyBorder="1" applyAlignment="1">
      <alignment horizontal="left"/>
    </xf>
    <xf numFmtId="0" fontId="1" fillId="2" borderId="29" xfId="0" applyFont="1" applyFill="1" applyBorder="1" applyAlignment="1">
      <alignment vertical="top"/>
    </xf>
    <xf numFmtId="0" fontId="5" fillId="2" borderId="5" xfId="0" applyFont="1" applyFill="1" applyBorder="1" applyAlignment="1">
      <alignment vertical="center"/>
    </xf>
    <xf numFmtId="14" fontId="5" fillId="2" borderId="29" xfId="0" applyNumberFormat="1" applyFont="1" applyFill="1" applyBorder="1" applyAlignment="1">
      <alignment horizontal="left"/>
    </xf>
    <xf numFmtId="0" fontId="6" fillId="2" borderId="29" xfId="0" applyFont="1" applyFill="1" applyBorder="1" applyAlignment="1">
      <alignment vertical="top"/>
    </xf>
    <xf numFmtId="0" fontId="6" fillId="2" borderId="1" xfId="0" applyFont="1" applyFill="1" applyBorder="1"/>
    <xf numFmtId="0" fontId="1" fillId="2" borderId="33" xfId="0" applyFont="1" applyFill="1" applyBorder="1"/>
    <xf numFmtId="0" fontId="7" fillId="3" borderId="34"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35" xfId="0" applyFont="1" applyFill="1" applyBorder="1" applyAlignment="1">
      <alignment horizontal="center" wrapText="1"/>
    </xf>
    <xf numFmtId="0" fontId="1" fillId="2" borderId="36"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37" xfId="0" applyFont="1" applyFill="1" applyBorder="1" applyAlignment="1">
      <alignment horizontal="center"/>
    </xf>
    <xf numFmtId="0" fontId="1" fillId="2" borderId="38" xfId="0" applyFont="1" applyFill="1" applyBorder="1" applyAlignment="1">
      <alignment horizontal="center"/>
    </xf>
    <xf numFmtId="0" fontId="14" fillId="3" borderId="39" xfId="0" applyFont="1" applyFill="1" applyBorder="1" applyAlignment="1">
      <alignment horizontal="center"/>
    </xf>
    <xf numFmtId="0" fontId="7" fillId="3" borderId="21" xfId="0" applyFont="1" applyFill="1" applyBorder="1"/>
    <xf numFmtId="0" fontId="14" fillId="3" borderId="21" xfId="0" applyFont="1" applyFill="1" applyBorder="1" applyAlignment="1">
      <alignment horizontal="center"/>
    </xf>
    <xf numFmtId="0" fontId="14" fillId="3" borderId="40"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15" fillId="2" borderId="1" xfId="0" applyNumberFormat="1" applyFont="1" applyFill="1" applyBorder="1" applyAlignment="1">
      <alignment horizontal="right" wrapText="1"/>
    </xf>
    <xf numFmtId="0" fontId="1" fillId="2" borderId="5" xfId="0" applyFont="1" applyFill="1" applyBorder="1" applyAlignment="1">
      <alignment vertical="top" wrapText="1" shrinkToFit="1"/>
    </xf>
    <xf numFmtId="0" fontId="12" fillId="2" borderId="5" xfId="0" applyFont="1" applyFill="1" applyBorder="1" applyAlignment="1">
      <alignment vertical="top" wrapText="1" shrinkToFit="1"/>
    </xf>
    <xf numFmtId="0" fontId="13" fillId="2" borderId="32" xfId="0" applyFont="1" applyFill="1" applyBorder="1"/>
    <xf numFmtId="0" fontId="1" fillId="2" borderId="32" xfId="0" applyFont="1" applyFill="1" applyBorder="1"/>
    <xf numFmtId="49" fontId="16" fillId="2" borderId="18" xfId="0" applyNumberFormat="1" applyFont="1" applyFill="1" applyBorder="1" applyAlignment="1">
      <alignment horizontal="left" vertical="center"/>
    </xf>
    <xf numFmtId="0" fontId="17" fillId="2" borderId="18" xfId="1" applyFill="1" applyBorder="1" applyAlignment="1">
      <alignment horizontal="left" vertical="center"/>
    </xf>
    <xf numFmtId="0" fontId="19" fillId="5" borderId="5" xfId="0" applyFont="1" applyFill="1" applyBorder="1" applyAlignment="1">
      <alignment horizontal="center" vertical="center" wrapText="1"/>
    </xf>
    <xf numFmtId="0" fontId="20" fillId="5" borderId="5" xfId="0" applyFont="1" applyFill="1" applyBorder="1" applyAlignment="1">
      <alignment vertical="center" wrapText="1"/>
    </xf>
    <xf numFmtId="0" fontId="21" fillId="6" borderId="13" xfId="0" applyFont="1" applyFill="1" applyBorder="1" applyAlignment="1">
      <alignment horizontal="left" vertical="center" wrapText="1"/>
    </xf>
    <xf numFmtId="0" fontId="21" fillId="6" borderId="13" xfId="0" applyFont="1" applyFill="1" applyBorder="1" applyAlignment="1">
      <alignment horizontal="center" vertical="center" wrapText="1"/>
    </xf>
    <xf numFmtId="0" fontId="19" fillId="6" borderId="10" xfId="0" applyFont="1" applyFill="1" applyBorder="1" applyAlignment="1">
      <alignment horizontal="center" vertical="center" wrapText="1"/>
    </xf>
    <xf numFmtId="0" fontId="20" fillId="6" borderId="10" xfId="0" applyFont="1" applyFill="1" applyBorder="1" applyAlignment="1">
      <alignment vertical="center" wrapText="1"/>
    </xf>
    <xf numFmtId="0" fontId="21" fillId="0" borderId="13" xfId="0" applyFont="1" applyBorder="1" applyAlignment="1">
      <alignment vertical="center" wrapText="1"/>
    </xf>
    <xf numFmtId="0" fontId="21" fillId="0" borderId="13" xfId="0" applyFont="1" applyBorder="1" applyAlignment="1">
      <alignment horizontal="center" vertical="center" wrapText="1"/>
    </xf>
    <xf numFmtId="0" fontId="21" fillId="0" borderId="10" xfId="0" applyFont="1" applyBorder="1" applyAlignment="1">
      <alignment vertical="center" wrapText="1"/>
    </xf>
    <xf numFmtId="0" fontId="22" fillId="0" borderId="10" xfId="0" applyFont="1" applyBorder="1" applyAlignment="1">
      <alignment vertical="center" wrapText="1"/>
    </xf>
    <xf numFmtId="0" fontId="21" fillId="0" borderId="5" xfId="0" applyFont="1" applyBorder="1" applyAlignment="1">
      <alignment vertical="center" wrapText="1"/>
    </xf>
    <xf numFmtId="0" fontId="22" fillId="0" borderId="5" xfId="0" applyFont="1" applyBorder="1" applyAlignment="1">
      <alignment vertical="center" wrapText="1"/>
    </xf>
    <xf numFmtId="0" fontId="22" fillId="0" borderId="13" xfId="0" applyFont="1" applyBorder="1" applyAlignment="1">
      <alignment horizontal="left" vertical="center" wrapText="1"/>
    </xf>
    <xf numFmtId="0" fontId="13" fillId="2" borderId="32" xfId="0" applyFont="1" applyFill="1" applyBorder="1" applyAlignment="1">
      <alignment vertical="top" wrapText="1"/>
    </xf>
    <xf numFmtId="0" fontId="12" fillId="2" borderId="32" xfId="0" applyFont="1" applyFill="1" applyBorder="1" applyAlignment="1">
      <alignment vertical="top"/>
    </xf>
    <xf numFmtId="0" fontId="22" fillId="0" borderId="43" xfId="0" applyFont="1" applyBorder="1" applyAlignment="1">
      <alignment horizontal="center" vertical="center"/>
    </xf>
    <xf numFmtId="0" fontId="21" fillId="7" borderId="13" xfId="0" applyFont="1" applyFill="1" applyBorder="1" applyAlignment="1">
      <alignment vertical="center" wrapText="1"/>
    </xf>
    <xf numFmtId="0" fontId="9" fillId="2" borderId="32" xfId="0" applyFont="1" applyFill="1" applyBorder="1" applyAlignment="1">
      <alignment horizontal="left" vertical="center"/>
    </xf>
    <xf numFmtId="0" fontId="12" fillId="2" borderId="32" xfId="0" applyFont="1" applyFill="1" applyBorder="1"/>
    <xf numFmtId="0" fontId="23" fillId="0" borderId="0" xfId="0" applyFont="1"/>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21" fillId="0" borderId="41" xfId="0" applyFont="1" applyBorder="1" applyAlignment="1">
      <alignment horizontal="center" vertical="center" wrapText="1"/>
    </xf>
    <xf numFmtId="0" fontId="4" fillId="0" borderId="41" xfId="0" applyFont="1" applyBorder="1"/>
    <xf numFmtId="0" fontId="21" fillId="0" borderId="30" xfId="0" applyFont="1" applyBorder="1" applyAlignment="1">
      <alignment horizontal="center" vertical="center" wrapText="1"/>
    </xf>
    <xf numFmtId="0" fontId="4" fillId="0" borderId="42" xfId="0" applyFont="1" applyBorder="1"/>
    <xf numFmtId="0" fontId="22" fillId="0" borderId="30" xfId="0" applyFont="1" applyBorder="1" applyAlignment="1">
      <alignment horizontal="center" vertical="center"/>
    </xf>
    <xf numFmtId="0" fontId="22" fillId="0" borderId="41" xfId="0" applyFont="1" applyBorder="1" applyAlignment="1">
      <alignment horizontal="center" vertical="center"/>
    </xf>
    <xf numFmtId="0" fontId="22" fillId="0" borderId="42" xfId="0" applyFont="1" applyBorder="1" applyAlignment="1">
      <alignment horizontal="center" vertical="center"/>
    </xf>
    <xf numFmtId="0" fontId="21" fillId="0" borderId="42" xfId="0" applyFont="1" applyBorder="1" applyAlignment="1">
      <alignment horizontal="center" vertical="center" wrapText="1"/>
    </xf>
    <xf numFmtId="0" fontId="21" fillId="0" borderId="44" xfId="0" applyFont="1" applyBorder="1" applyAlignment="1">
      <alignment horizontal="center" vertical="center" wrapText="1"/>
    </xf>
    <xf numFmtId="0" fontId="21" fillId="0" borderId="10" xfId="0" applyFont="1" applyBorder="1" applyAlignment="1">
      <alignment horizontal="center" vertical="center" wrapText="1"/>
    </xf>
    <xf numFmtId="0" fontId="21" fillId="2" borderId="44" xfId="0" applyFont="1" applyFill="1" applyBorder="1" applyAlignment="1">
      <alignment horizontal="center" vertical="center" wrapText="1"/>
    </xf>
    <xf numFmtId="0" fontId="21" fillId="2" borderId="41" xfId="0" applyFont="1" applyFill="1" applyBorder="1" applyAlignment="1">
      <alignment horizontal="center" vertical="center" wrapText="1"/>
    </xf>
    <xf numFmtId="0" fontId="21" fillId="2" borderId="42" xfId="0" applyFont="1" applyFill="1" applyBorder="1" applyAlignment="1">
      <alignment horizontal="center" vertical="center" wrapText="1"/>
    </xf>
    <xf numFmtId="0" fontId="21" fillId="2" borderId="10" xfId="0" applyFont="1" applyFill="1" applyBorder="1" applyAlignment="1">
      <alignment horizontal="center" vertical="center" wrapText="1"/>
    </xf>
    <xf numFmtId="0" fontId="21" fillId="6" borderId="30"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21" fillId="6" borderId="42" xfId="0" applyFont="1" applyFill="1" applyBorder="1" applyAlignment="1">
      <alignment horizontal="center" vertical="center" wrapText="1"/>
    </xf>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1" xfId="0" applyFont="1" applyFill="1" applyBorder="1" applyAlignment="1">
      <alignment horizontal="center"/>
    </xf>
    <xf numFmtId="0" fontId="5" fillId="2" borderId="29" xfId="0" applyFont="1" applyFill="1" applyBorder="1" applyAlignment="1">
      <alignment horizontal="left"/>
    </xf>
    <xf numFmtId="0" fontId="6" fillId="2" borderId="29" xfId="0" applyFont="1" applyFill="1" applyBorder="1" applyAlignment="1">
      <alignment horizontal="left"/>
    </xf>
    <xf numFmtId="0" fontId="6" fillId="2" borderId="23" xfId="0" applyFont="1" applyFill="1" applyBorder="1" applyAlignment="1">
      <alignment vertical="top" wrapText="1"/>
    </xf>
    <xf numFmtId="0" fontId="6" fillId="2" borderId="29" xfId="0" applyFont="1" applyFill="1" applyBorder="1" applyAlignment="1">
      <alignment vertical="top" wrapText="1"/>
    </xf>
    <xf numFmtId="0" fontId="21" fillId="0" borderId="46" xfId="0" applyFont="1" applyBorder="1" applyAlignment="1">
      <alignment vertical="center" wrapText="1"/>
    </xf>
    <xf numFmtId="0" fontId="21" fillId="0" borderId="46" xfId="0" applyFont="1" applyBorder="1" applyAlignment="1">
      <alignment horizontal="center" vertical="center" wrapText="1"/>
    </xf>
    <xf numFmtId="0" fontId="21" fillId="0" borderId="30" xfId="0" applyFont="1" applyBorder="1" applyAlignment="1">
      <alignment vertical="center" wrapText="1"/>
    </xf>
    <xf numFmtId="0" fontId="22" fillId="0" borderId="30" xfId="0" applyFont="1" applyBorder="1" applyAlignment="1">
      <alignment vertical="center" wrapText="1"/>
    </xf>
    <xf numFmtId="0" fontId="4" fillId="0" borderId="47" xfId="0" applyFont="1" applyBorder="1"/>
    <xf numFmtId="0" fontId="21" fillId="0" borderId="45" xfId="0" applyFont="1" applyBorder="1" applyAlignment="1">
      <alignment vertical="center" wrapText="1"/>
    </xf>
    <xf numFmtId="0" fontId="21" fillId="0" borderId="45" xfId="0" applyFont="1" applyBorder="1" applyAlignment="1">
      <alignment horizontal="center" vertical="center" wrapText="1"/>
    </xf>
    <xf numFmtId="0" fontId="22" fillId="0" borderId="45" xfId="0" applyFont="1" applyBorder="1" applyAlignment="1">
      <alignment vertical="center" wrapText="1"/>
    </xf>
    <xf numFmtId="0" fontId="25" fillId="0" borderId="45" xfId="0" applyFont="1" applyBorder="1" applyAlignment="1">
      <alignment vertical="top" wrapText="1" shrinkToFit="1"/>
    </xf>
    <xf numFmtId="0" fontId="26" fillId="0" borderId="45" xfId="0" applyFont="1" applyBorder="1" applyAlignment="1">
      <alignment vertical="top" wrapText="1" shrinkToFit="1"/>
    </xf>
    <xf numFmtId="0" fontId="27" fillId="2" borderId="45" xfId="0" applyFont="1" applyFill="1" applyBorder="1" applyAlignment="1">
      <alignment vertical="top" wrapText="1" shrinkToFit="1"/>
    </xf>
    <xf numFmtId="0" fontId="26" fillId="2" borderId="45" xfId="0" applyFont="1" applyFill="1" applyBorder="1" applyAlignment="1">
      <alignment vertical="top" wrapText="1" shrinkToFit="1"/>
    </xf>
    <xf numFmtId="0" fontId="27" fillId="0" borderId="29" xfId="0" applyFont="1" applyBorder="1" applyAlignment="1">
      <alignment horizontal="left" vertical="top" wrapText="1" shrinkToFit="1"/>
    </xf>
    <xf numFmtId="0" fontId="27" fillId="0" borderId="5" xfId="0" applyFont="1" applyBorder="1" applyAlignment="1">
      <alignment horizontal="left" vertical="top" wrapText="1" shrinkToFit="1"/>
    </xf>
    <xf numFmtId="0" fontId="28" fillId="2" borderId="5" xfId="0" applyFont="1" applyFill="1" applyBorder="1" applyAlignment="1">
      <alignment horizontal="left" vertical="top" wrapText="1" shrinkToFit="1"/>
    </xf>
    <xf numFmtId="0" fontId="27" fillId="2" borderId="5" xfId="0" applyFont="1" applyFill="1" applyBorder="1" applyAlignment="1">
      <alignment vertical="top" wrapText="1" shrinkToFit="1"/>
    </xf>
    <xf numFmtId="14" fontId="27" fillId="2" borderId="5" xfId="0" applyNumberFormat="1" applyFont="1" applyFill="1" applyBorder="1" applyAlignment="1">
      <alignment vertical="top" wrapText="1" shrinkToFit="1"/>
    </xf>
    <xf numFmtId="0" fontId="29" fillId="2" borderId="5" xfId="0" applyFont="1" applyFill="1" applyBorder="1" applyAlignment="1">
      <alignment horizontal="left" vertical="top" wrapText="1" shrinkToFit="1"/>
    </xf>
    <xf numFmtId="0" fontId="26" fillId="0" borderId="29" xfId="0" applyFont="1" applyBorder="1" applyAlignment="1">
      <alignment horizontal="left" vertical="top" wrapText="1" shrinkToFit="1"/>
    </xf>
    <xf numFmtId="0" fontId="26" fillId="0" borderId="5" xfId="0" applyFont="1" applyBorder="1" applyAlignment="1">
      <alignment horizontal="left" vertical="top" wrapText="1" shrinkToFit="1"/>
    </xf>
  </cellXfs>
  <cellStyles count="4">
    <cellStyle name="Hyperlink" xfId="1" builtinId="8"/>
    <cellStyle name="Hyperlink 2" xfId="3" xr:uid="{1E2F219C-C1DA-424E-8100-33B937D3D14F}"/>
    <cellStyle name="Normal" xfId="0" builtinId="0"/>
    <cellStyle name="Normal 2" xfId="2" xr:uid="{6D6937DD-AD3A-4EE0-90CB-C9BD732489C9}"/>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M4" sqref="M4"/>
    </sheetView>
  </sheetViews>
  <sheetFormatPr defaultColWidth="14.44140625" defaultRowHeight="15" customHeight="1" x14ac:dyDescent="0.3"/>
  <cols>
    <col min="1" max="1" width="2.5546875" customWidth="1"/>
    <col min="2" max="2" width="22.44140625" customWidth="1"/>
    <col min="3" max="3" width="10.5546875" customWidth="1"/>
    <col min="4" max="4" width="16.5546875" customWidth="1"/>
    <col min="5" max="5" width="9.109375" customWidth="1"/>
    <col min="6" max="6" width="35.5546875" customWidth="1"/>
    <col min="7" max="7" width="35.44140625" customWidth="1"/>
    <col min="8" max="26" width="9.10937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3"/>
      <c r="B2" s="131" t="s">
        <v>0</v>
      </c>
      <c r="C2" s="132"/>
      <c r="D2" s="132"/>
      <c r="E2" s="132"/>
      <c r="F2" s="132"/>
      <c r="G2" s="133"/>
      <c r="H2" s="4"/>
      <c r="I2" s="4"/>
      <c r="J2" s="4"/>
      <c r="K2" s="4"/>
      <c r="L2" s="4"/>
      <c r="M2" s="4"/>
      <c r="N2" s="4"/>
      <c r="O2" s="4"/>
      <c r="P2" s="4"/>
      <c r="Q2" s="4"/>
      <c r="R2" s="4"/>
      <c r="S2" s="4"/>
      <c r="T2" s="4"/>
      <c r="U2" s="4"/>
      <c r="V2" s="4"/>
      <c r="W2" s="4"/>
      <c r="X2" s="4"/>
      <c r="Y2" s="4"/>
      <c r="Z2" s="4"/>
    </row>
    <row r="3" spans="1:26" ht="12.75" customHeight="1" x14ac:dyDescent="0.3">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3">
      <c r="A4" s="1"/>
      <c r="B4" s="8" t="s">
        <v>1</v>
      </c>
      <c r="C4" s="134" t="s">
        <v>55</v>
      </c>
      <c r="D4" s="132"/>
      <c r="E4" s="133"/>
      <c r="F4" s="8" t="s">
        <v>2</v>
      </c>
      <c r="G4" s="9" t="s">
        <v>56</v>
      </c>
      <c r="H4" s="1"/>
      <c r="I4" s="1"/>
      <c r="J4" s="1"/>
      <c r="K4" s="1"/>
      <c r="L4" s="1"/>
      <c r="M4" s="1"/>
      <c r="N4" s="1"/>
      <c r="O4" s="1"/>
      <c r="P4" s="1"/>
      <c r="Q4" s="1"/>
      <c r="R4" s="1"/>
      <c r="S4" s="1"/>
      <c r="T4" s="1"/>
      <c r="U4" s="1"/>
      <c r="V4" s="1"/>
      <c r="W4" s="1"/>
      <c r="X4" s="1"/>
      <c r="Y4" s="1"/>
      <c r="Z4" s="1"/>
    </row>
    <row r="5" spans="1:26" ht="14.25" customHeight="1" x14ac:dyDescent="0.3">
      <c r="A5" s="1"/>
      <c r="B5" s="8" t="s">
        <v>3</v>
      </c>
      <c r="C5" s="134" t="s">
        <v>55</v>
      </c>
      <c r="D5" s="132"/>
      <c r="E5" s="133"/>
      <c r="F5" s="8" t="s">
        <v>4</v>
      </c>
      <c r="G5" s="9" t="s">
        <v>56</v>
      </c>
      <c r="H5" s="1"/>
      <c r="I5" s="1"/>
      <c r="J5" s="1"/>
      <c r="K5" s="1"/>
      <c r="L5" s="1"/>
      <c r="M5" s="1"/>
      <c r="N5" s="1"/>
      <c r="O5" s="1"/>
      <c r="P5" s="1"/>
      <c r="Q5" s="1"/>
      <c r="R5" s="1"/>
      <c r="S5" s="1"/>
      <c r="T5" s="1"/>
      <c r="U5" s="1"/>
      <c r="V5" s="1"/>
      <c r="W5" s="1"/>
      <c r="X5" s="1"/>
      <c r="Y5" s="1"/>
      <c r="Z5" s="1"/>
    </row>
    <row r="6" spans="1:26" ht="15.75" customHeight="1" x14ac:dyDescent="0.3">
      <c r="A6" s="1"/>
      <c r="B6" s="135" t="s">
        <v>5</v>
      </c>
      <c r="C6" s="137" t="str">
        <f>C5&amp;"_TestCase_V0.1"</f>
        <v>Website CellphoneS_TestCase_V0.1</v>
      </c>
      <c r="D6" s="138"/>
      <c r="E6" s="139"/>
      <c r="F6" s="8" t="s">
        <v>6</v>
      </c>
      <c r="G6" s="10">
        <v>45633</v>
      </c>
      <c r="H6" s="1"/>
      <c r="I6" s="1"/>
      <c r="J6" s="1"/>
      <c r="K6" s="1"/>
      <c r="L6" s="1"/>
      <c r="M6" s="1"/>
      <c r="N6" s="1"/>
      <c r="O6" s="1"/>
      <c r="P6" s="1"/>
      <c r="Q6" s="1"/>
      <c r="R6" s="1"/>
      <c r="S6" s="1"/>
      <c r="T6" s="1"/>
      <c r="U6" s="1"/>
      <c r="V6" s="1"/>
      <c r="W6" s="1"/>
      <c r="X6" s="1"/>
      <c r="Y6" s="1"/>
      <c r="Z6" s="1"/>
    </row>
    <row r="7" spans="1:26" ht="13.5" customHeight="1" x14ac:dyDescent="0.3">
      <c r="A7" s="1"/>
      <c r="B7" s="136"/>
      <c r="C7" s="140"/>
      <c r="D7" s="141"/>
      <c r="E7" s="142"/>
      <c r="F7" s="8" t="s">
        <v>7</v>
      </c>
      <c r="G7" s="11">
        <v>0.1</v>
      </c>
      <c r="H7" s="1"/>
      <c r="I7" s="1"/>
      <c r="J7" s="1"/>
      <c r="K7" s="1"/>
      <c r="L7" s="1"/>
      <c r="M7" s="1"/>
      <c r="N7" s="1"/>
      <c r="O7" s="1"/>
      <c r="P7" s="1"/>
      <c r="Q7" s="1"/>
      <c r="R7" s="1"/>
      <c r="S7" s="1"/>
      <c r="T7" s="1"/>
      <c r="U7" s="1"/>
      <c r="V7" s="1"/>
      <c r="W7" s="1"/>
      <c r="X7" s="1"/>
      <c r="Y7" s="1"/>
      <c r="Z7" s="1"/>
    </row>
    <row r="8" spans="1:26" ht="12.75" customHeight="1" x14ac:dyDescent="0.3">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5.5" customHeight="1" x14ac:dyDescent="0.3">
      <c r="A12" s="18"/>
      <c r="B12" s="19">
        <v>45633</v>
      </c>
      <c r="C12" s="20" t="s">
        <v>14</v>
      </c>
      <c r="D12" s="18"/>
      <c r="E12" s="21" t="s">
        <v>15</v>
      </c>
      <c r="F12" s="21" t="s">
        <v>16</v>
      </c>
      <c r="G12" s="22" t="str">
        <f>C5&amp;"_TestCase_V0.1"</f>
        <v>Website CellphoneS_TestCase_V0.1</v>
      </c>
      <c r="H12" s="18"/>
      <c r="I12" s="18"/>
      <c r="J12" s="18"/>
      <c r="K12" s="18"/>
      <c r="L12" s="18"/>
      <c r="M12" s="18"/>
      <c r="N12" s="18"/>
      <c r="O12" s="18"/>
      <c r="P12" s="18"/>
      <c r="Q12" s="18"/>
      <c r="R12" s="18"/>
      <c r="S12" s="18"/>
      <c r="T12" s="18"/>
      <c r="U12" s="18"/>
      <c r="V12" s="18"/>
      <c r="W12" s="18"/>
      <c r="X12" s="18"/>
      <c r="Y12" s="18"/>
      <c r="Z12" s="18"/>
    </row>
    <row r="13" spans="1:26" ht="21.75" customHeight="1" x14ac:dyDescent="0.3">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x14ac:dyDescent="0.3">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x14ac:dyDescent="0.3">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x14ac:dyDescent="0.3">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x14ac:dyDescent="0.3">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x14ac:dyDescent="0.3">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F584-0318-4C59-B029-B4DB3695A6D4}">
  <dimension ref="A1:G49"/>
  <sheetViews>
    <sheetView workbookViewId="0">
      <selection activeCell="G49" sqref="A2:G49"/>
    </sheetView>
  </sheetViews>
  <sheetFormatPr defaultRowHeight="14.4" x14ac:dyDescent="0.3"/>
  <cols>
    <col min="1" max="1" width="17.21875" customWidth="1"/>
    <col min="2" max="2" width="15.88671875" customWidth="1"/>
    <col min="3" max="3" width="24.88671875" customWidth="1"/>
    <col min="4" max="4" width="83" customWidth="1"/>
  </cols>
  <sheetData>
    <row r="1" spans="1:7" ht="27.6" x14ac:dyDescent="0.3">
      <c r="A1" s="111" t="s">
        <v>186</v>
      </c>
      <c r="B1" s="111" t="s">
        <v>187</v>
      </c>
      <c r="C1" s="111" t="s">
        <v>188</v>
      </c>
      <c r="D1" s="111" t="s">
        <v>189</v>
      </c>
      <c r="E1" s="111" t="s">
        <v>190</v>
      </c>
      <c r="F1" s="111" t="s">
        <v>26</v>
      </c>
      <c r="G1" s="112" t="s">
        <v>191</v>
      </c>
    </row>
    <row r="2" spans="1:7" x14ac:dyDescent="0.3">
      <c r="A2" s="145" t="s">
        <v>200</v>
      </c>
      <c r="B2" s="145" t="s">
        <v>201</v>
      </c>
      <c r="C2" s="157" t="s">
        <v>192</v>
      </c>
      <c r="D2" s="113" t="s">
        <v>193</v>
      </c>
      <c r="E2" s="114" t="s">
        <v>194</v>
      </c>
      <c r="F2" s="115"/>
      <c r="G2" s="116"/>
    </row>
    <row r="3" spans="1:7" x14ac:dyDescent="0.3">
      <c r="A3" s="143"/>
      <c r="B3" s="143"/>
      <c r="C3" s="158"/>
      <c r="D3" s="113" t="s">
        <v>195</v>
      </c>
      <c r="E3" s="114" t="s">
        <v>194</v>
      </c>
      <c r="F3" s="115"/>
      <c r="G3" s="116"/>
    </row>
    <row r="4" spans="1:7" x14ac:dyDescent="0.3">
      <c r="A4" s="143"/>
      <c r="B4" s="143"/>
      <c r="C4" s="158"/>
      <c r="D4" s="113" t="s">
        <v>196</v>
      </c>
      <c r="E4" s="114" t="s">
        <v>197</v>
      </c>
      <c r="F4" s="115"/>
      <c r="G4" s="116"/>
    </row>
    <row r="5" spans="1:7" x14ac:dyDescent="0.3">
      <c r="A5" s="143"/>
      <c r="B5" s="143"/>
      <c r="C5" s="158"/>
      <c r="D5" s="113" t="s">
        <v>198</v>
      </c>
      <c r="E5" s="114" t="s">
        <v>194</v>
      </c>
      <c r="F5" s="115"/>
      <c r="G5" s="116"/>
    </row>
    <row r="6" spans="1:7" ht="27.6" x14ac:dyDescent="0.3">
      <c r="A6" s="143"/>
      <c r="B6" s="143"/>
      <c r="C6" s="158"/>
      <c r="D6" s="113" t="s">
        <v>199</v>
      </c>
      <c r="E6" s="114" t="s">
        <v>197</v>
      </c>
      <c r="F6" s="115"/>
      <c r="G6" s="116"/>
    </row>
    <row r="7" spans="1:7" ht="27.6" x14ac:dyDescent="0.3">
      <c r="A7" s="143"/>
      <c r="B7" s="143"/>
      <c r="C7" s="158"/>
      <c r="D7" s="117" t="s">
        <v>209</v>
      </c>
      <c r="E7" s="118" t="s">
        <v>197</v>
      </c>
      <c r="F7" s="115"/>
      <c r="G7" s="116"/>
    </row>
    <row r="8" spans="1:7" ht="27.6" x14ac:dyDescent="0.3">
      <c r="A8" s="143"/>
      <c r="B8" s="143"/>
      <c r="C8" s="158"/>
      <c r="D8" s="117" t="s">
        <v>210</v>
      </c>
      <c r="E8" s="118" t="s">
        <v>194</v>
      </c>
      <c r="F8" s="115"/>
      <c r="G8" s="116"/>
    </row>
    <row r="9" spans="1:7" ht="27.6" x14ac:dyDescent="0.3">
      <c r="A9" s="143"/>
      <c r="B9" s="143"/>
      <c r="C9" s="158"/>
      <c r="D9" s="117" t="s">
        <v>211</v>
      </c>
      <c r="E9" s="118" t="s">
        <v>194</v>
      </c>
      <c r="F9" s="115"/>
      <c r="G9" s="116"/>
    </row>
    <row r="10" spans="1:7" ht="27.6" x14ac:dyDescent="0.3">
      <c r="A10" s="143"/>
      <c r="B10" s="143"/>
      <c r="C10" s="158"/>
      <c r="D10" s="117" t="s">
        <v>249</v>
      </c>
      <c r="E10" s="118" t="s">
        <v>194</v>
      </c>
      <c r="F10" s="115"/>
      <c r="G10" s="116"/>
    </row>
    <row r="11" spans="1:7" ht="27.6" x14ac:dyDescent="0.3">
      <c r="A11" s="143"/>
      <c r="B11" s="143"/>
      <c r="C11" s="159"/>
      <c r="D11" s="113" t="s">
        <v>250</v>
      </c>
      <c r="E11" s="114" t="s">
        <v>197</v>
      </c>
      <c r="F11" s="115"/>
      <c r="G11" s="116"/>
    </row>
    <row r="12" spans="1:7" ht="27.6" customHeight="1" x14ac:dyDescent="0.3">
      <c r="A12" s="143"/>
      <c r="B12" s="143"/>
      <c r="C12" s="143" t="s">
        <v>202</v>
      </c>
      <c r="D12" s="117" t="s">
        <v>251</v>
      </c>
      <c r="E12" s="118" t="s">
        <v>197</v>
      </c>
      <c r="F12" s="119"/>
      <c r="G12" s="120"/>
    </row>
    <row r="13" spans="1:7" x14ac:dyDescent="0.3">
      <c r="A13" s="143"/>
      <c r="B13" s="143"/>
      <c r="C13" s="144"/>
      <c r="D13" s="117" t="s">
        <v>203</v>
      </c>
      <c r="E13" s="118" t="s">
        <v>197</v>
      </c>
      <c r="F13" s="119"/>
      <c r="G13" s="120"/>
    </row>
    <row r="14" spans="1:7" ht="27.6" x14ac:dyDescent="0.3">
      <c r="A14" s="143"/>
      <c r="B14" s="143"/>
      <c r="C14" s="144"/>
      <c r="D14" s="117" t="s">
        <v>226</v>
      </c>
      <c r="E14" s="118" t="s">
        <v>197</v>
      </c>
      <c r="F14" s="121"/>
      <c r="G14" s="122"/>
    </row>
    <row r="15" spans="1:7" ht="27.6" x14ac:dyDescent="0.3">
      <c r="A15" s="143"/>
      <c r="B15" s="143"/>
      <c r="C15" s="144"/>
      <c r="D15" s="117" t="s">
        <v>227</v>
      </c>
      <c r="E15" s="118" t="s">
        <v>197</v>
      </c>
      <c r="F15" s="121"/>
      <c r="G15" s="122"/>
    </row>
    <row r="16" spans="1:7" ht="27.6" x14ac:dyDescent="0.3">
      <c r="A16" s="143"/>
      <c r="B16" s="143"/>
      <c r="C16" s="144"/>
      <c r="D16" s="117" t="s">
        <v>252</v>
      </c>
      <c r="E16" s="118" t="s">
        <v>197</v>
      </c>
      <c r="F16" s="121"/>
      <c r="G16" s="122"/>
    </row>
    <row r="17" spans="1:7" ht="27.6" x14ac:dyDescent="0.3">
      <c r="A17" s="143"/>
      <c r="B17" s="143"/>
      <c r="C17" s="144"/>
      <c r="D17" s="117" t="s">
        <v>231</v>
      </c>
      <c r="E17" s="118" t="s">
        <v>197</v>
      </c>
      <c r="F17" s="121"/>
      <c r="G17" s="122"/>
    </row>
    <row r="18" spans="1:7" x14ac:dyDescent="0.3">
      <c r="A18" s="143"/>
      <c r="B18" s="143"/>
      <c r="C18" s="144"/>
      <c r="D18" s="127" t="s">
        <v>232</v>
      </c>
      <c r="E18" s="118" t="s">
        <v>197</v>
      </c>
      <c r="F18" s="121"/>
      <c r="G18" s="122"/>
    </row>
    <row r="19" spans="1:7" ht="27.6" x14ac:dyDescent="0.3">
      <c r="A19" s="143"/>
      <c r="B19" s="143"/>
      <c r="C19" s="144"/>
      <c r="D19" s="117" t="s">
        <v>253</v>
      </c>
      <c r="E19" s="118" t="s">
        <v>197</v>
      </c>
      <c r="F19" s="121"/>
      <c r="G19" s="122"/>
    </row>
    <row r="20" spans="1:7" x14ac:dyDescent="0.3">
      <c r="A20" s="143"/>
      <c r="B20" s="143"/>
      <c r="C20" s="144"/>
      <c r="D20" s="117" t="s">
        <v>204</v>
      </c>
      <c r="E20" s="118" t="s">
        <v>197</v>
      </c>
      <c r="F20" s="121"/>
      <c r="G20" s="122"/>
    </row>
    <row r="21" spans="1:7" x14ac:dyDescent="0.3">
      <c r="A21" s="143"/>
      <c r="B21" s="143"/>
      <c r="C21" s="144"/>
      <c r="D21" s="117" t="s">
        <v>205</v>
      </c>
      <c r="E21" s="118" t="s">
        <v>197</v>
      </c>
      <c r="F21" s="121"/>
      <c r="G21" s="122"/>
    </row>
    <row r="22" spans="1:7" ht="27.6" x14ac:dyDescent="0.3">
      <c r="A22" s="143"/>
      <c r="B22" s="143"/>
      <c r="C22" s="144"/>
      <c r="D22" s="117" t="s">
        <v>233</v>
      </c>
      <c r="E22" s="118" t="s">
        <v>197</v>
      </c>
      <c r="F22" s="121"/>
      <c r="G22" s="122"/>
    </row>
    <row r="23" spans="1:7" ht="27.6" x14ac:dyDescent="0.3">
      <c r="A23" s="143"/>
      <c r="B23" s="143"/>
      <c r="C23" s="144"/>
      <c r="D23" s="174" t="s">
        <v>206</v>
      </c>
      <c r="E23" s="175" t="s">
        <v>197</v>
      </c>
      <c r="F23" s="176"/>
      <c r="G23" s="177"/>
    </row>
    <row r="24" spans="1:7" x14ac:dyDescent="0.3">
      <c r="A24" s="143"/>
      <c r="B24" s="143"/>
      <c r="C24" s="178"/>
      <c r="D24" s="179" t="s">
        <v>254</v>
      </c>
      <c r="E24" s="180" t="s">
        <v>197</v>
      </c>
      <c r="F24" s="179"/>
      <c r="G24" s="181"/>
    </row>
    <row r="25" spans="1:7" x14ac:dyDescent="0.3">
      <c r="A25" s="143"/>
      <c r="B25" s="143"/>
      <c r="C25" s="145" t="s">
        <v>207</v>
      </c>
      <c r="D25" s="117" t="s">
        <v>234</v>
      </c>
      <c r="E25" s="118" t="s">
        <v>197</v>
      </c>
      <c r="F25" s="119"/>
      <c r="G25" s="120"/>
    </row>
    <row r="26" spans="1:7" x14ac:dyDescent="0.3">
      <c r="A26" s="143"/>
      <c r="B26" s="150"/>
      <c r="C26" s="146"/>
      <c r="D26" s="117" t="s">
        <v>208</v>
      </c>
      <c r="E26" s="118" t="s">
        <v>194</v>
      </c>
      <c r="F26" s="121"/>
      <c r="G26" s="122"/>
    </row>
    <row r="27" spans="1:7" x14ac:dyDescent="0.3">
      <c r="A27" s="143"/>
      <c r="B27" s="153" t="s">
        <v>212</v>
      </c>
      <c r="C27" s="151" t="s">
        <v>192</v>
      </c>
      <c r="D27" s="117" t="s">
        <v>238</v>
      </c>
      <c r="E27" s="118" t="s">
        <v>197</v>
      </c>
      <c r="F27" s="121"/>
      <c r="G27" s="122"/>
    </row>
    <row r="28" spans="1:7" ht="27.6" x14ac:dyDescent="0.3">
      <c r="A28" s="143"/>
      <c r="B28" s="154"/>
      <c r="C28" s="143"/>
      <c r="D28" s="117" t="s">
        <v>235</v>
      </c>
      <c r="E28" s="118" t="s">
        <v>197</v>
      </c>
      <c r="F28" s="122"/>
      <c r="G28" s="122"/>
    </row>
    <row r="29" spans="1:7" x14ac:dyDescent="0.3">
      <c r="A29" s="143"/>
      <c r="B29" s="154"/>
      <c r="C29" s="143"/>
      <c r="D29" s="117" t="s">
        <v>237</v>
      </c>
      <c r="E29" s="118" t="s">
        <v>194</v>
      </c>
      <c r="F29" s="122"/>
      <c r="G29" s="122"/>
    </row>
    <row r="30" spans="1:7" x14ac:dyDescent="0.3">
      <c r="A30" s="143"/>
      <c r="B30" s="154"/>
      <c r="C30" s="143"/>
      <c r="D30" s="117" t="s">
        <v>236</v>
      </c>
      <c r="E30" s="118" t="s">
        <v>194</v>
      </c>
      <c r="F30" s="122"/>
      <c r="G30" s="122"/>
    </row>
    <row r="31" spans="1:7" ht="27.6" x14ac:dyDescent="0.3">
      <c r="A31" s="143"/>
      <c r="B31" s="154"/>
      <c r="C31" s="152"/>
      <c r="D31" s="117" t="s">
        <v>239</v>
      </c>
      <c r="E31" s="118" t="s">
        <v>197</v>
      </c>
      <c r="F31" s="122"/>
      <c r="G31" s="122"/>
    </row>
    <row r="32" spans="1:7" ht="27.6" x14ac:dyDescent="0.3">
      <c r="A32" s="143"/>
      <c r="B32" s="154"/>
      <c r="C32" s="143" t="s">
        <v>213</v>
      </c>
      <c r="D32" s="117" t="s">
        <v>240</v>
      </c>
      <c r="E32" s="118" t="s">
        <v>197</v>
      </c>
      <c r="F32" s="122"/>
      <c r="G32" s="122"/>
    </row>
    <row r="33" spans="1:7" x14ac:dyDescent="0.3">
      <c r="A33" s="143"/>
      <c r="B33" s="154"/>
      <c r="C33" s="144"/>
      <c r="D33" s="117" t="s">
        <v>214</v>
      </c>
      <c r="E33" s="118" t="s">
        <v>197</v>
      </c>
      <c r="F33" s="122"/>
      <c r="G33" s="122"/>
    </row>
    <row r="34" spans="1:7" ht="27.6" x14ac:dyDescent="0.3">
      <c r="A34" s="143"/>
      <c r="B34" s="154"/>
      <c r="C34" s="144"/>
      <c r="D34" s="117" t="s">
        <v>215</v>
      </c>
      <c r="E34" s="118" t="s">
        <v>197</v>
      </c>
      <c r="F34" s="122"/>
      <c r="G34" s="122"/>
    </row>
    <row r="35" spans="1:7" ht="27.6" x14ac:dyDescent="0.3">
      <c r="A35" s="143"/>
      <c r="B35" s="154"/>
      <c r="C35" s="144"/>
      <c r="D35" s="117" t="s">
        <v>216</v>
      </c>
      <c r="E35" s="118" t="s">
        <v>197</v>
      </c>
      <c r="F35" s="122"/>
      <c r="G35" s="122"/>
    </row>
    <row r="36" spans="1:7" ht="27.6" x14ac:dyDescent="0.3">
      <c r="A36" s="143"/>
      <c r="B36" s="154"/>
      <c r="C36" s="144"/>
      <c r="D36" s="117" t="s">
        <v>245</v>
      </c>
      <c r="E36" s="118" t="s">
        <v>197</v>
      </c>
      <c r="F36" s="122"/>
      <c r="G36" s="122"/>
    </row>
    <row r="37" spans="1:7" x14ac:dyDescent="0.3">
      <c r="A37" s="143"/>
      <c r="B37" s="154"/>
      <c r="C37" s="144"/>
      <c r="D37" s="117" t="s">
        <v>241</v>
      </c>
      <c r="E37" s="118" t="s">
        <v>197</v>
      </c>
      <c r="F37" s="122"/>
      <c r="G37" s="122"/>
    </row>
    <row r="38" spans="1:7" x14ac:dyDescent="0.3">
      <c r="A38" s="143"/>
      <c r="B38" s="154"/>
      <c r="C38" s="144"/>
      <c r="D38" s="117" t="s">
        <v>242</v>
      </c>
      <c r="E38" s="118" t="s">
        <v>197</v>
      </c>
      <c r="F38" s="122"/>
      <c r="G38" s="122"/>
    </row>
    <row r="39" spans="1:7" ht="27.6" x14ac:dyDescent="0.3">
      <c r="A39" s="143"/>
      <c r="B39" s="154"/>
      <c r="C39" s="136"/>
      <c r="D39" s="117" t="s">
        <v>217</v>
      </c>
      <c r="E39" s="118" t="s">
        <v>197</v>
      </c>
      <c r="F39" s="122"/>
      <c r="G39" s="122"/>
    </row>
    <row r="40" spans="1:7" ht="27.6" x14ac:dyDescent="0.3">
      <c r="A40" s="143"/>
      <c r="B40" s="154"/>
      <c r="C40" s="143" t="s">
        <v>218</v>
      </c>
      <c r="D40" s="117" t="s">
        <v>219</v>
      </c>
      <c r="E40" s="118" t="s">
        <v>194</v>
      </c>
      <c r="F40" s="122"/>
      <c r="G40" s="122"/>
    </row>
    <row r="41" spans="1:7" x14ac:dyDescent="0.3">
      <c r="A41" s="143"/>
      <c r="B41" s="154"/>
      <c r="C41" s="136"/>
      <c r="D41" s="117" t="s">
        <v>220</v>
      </c>
      <c r="E41" s="118" t="s">
        <v>197</v>
      </c>
      <c r="F41" s="122"/>
      <c r="G41" s="122"/>
    </row>
    <row r="42" spans="1:7" x14ac:dyDescent="0.3">
      <c r="A42" s="143"/>
      <c r="B42" s="154"/>
      <c r="C42" s="147" t="s">
        <v>221</v>
      </c>
      <c r="D42" s="123" t="s">
        <v>222</v>
      </c>
      <c r="E42" s="118" t="s">
        <v>197</v>
      </c>
      <c r="F42" s="122"/>
      <c r="G42" s="122"/>
    </row>
    <row r="43" spans="1:7" x14ac:dyDescent="0.3">
      <c r="A43" s="143"/>
      <c r="B43" s="154"/>
      <c r="C43" s="148"/>
      <c r="D43" s="117" t="s">
        <v>243</v>
      </c>
      <c r="E43" s="118" t="s">
        <v>197</v>
      </c>
      <c r="F43" s="122"/>
      <c r="G43" s="122"/>
    </row>
    <row r="44" spans="1:7" x14ac:dyDescent="0.3">
      <c r="A44" s="143"/>
      <c r="B44" s="155"/>
      <c r="C44" s="149"/>
      <c r="D44" s="117" t="s">
        <v>244</v>
      </c>
      <c r="E44" s="118" t="s">
        <v>197</v>
      </c>
      <c r="F44" s="122"/>
      <c r="G44" s="122"/>
    </row>
    <row r="45" spans="1:7" x14ac:dyDescent="0.3">
      <c r="A45" s="143"/>
      <c r="B45" s="153" t="s">
        <v>223</v>
      </c>
      <c r="C45" s="126" t="s">
        <v>192</v>
      </c>
      <c r="D45" s="117" t="s">
        <v>248</v>
      </c>
      <c r="E45" s="118" t="s">
        <v>194</v>
      </c>
      <c r="F45" s="122"/>
      <c r="G45" s="122"/>
    </row>
    <row r="46" spans="1:7" ht="27.6" x14ac:dyDescent="0.3">
      <c r="A46" s="143"/>
      <c r="B46" s="154"/>
      <c r="C46" s="143" t="s">
        <v>224</v>
      </c>
      <c r="D46" s="117" t="s">
        <v>246</v>
      </c>
      <c r="E46" s="118" t="s">
        <v>197</v>
      </c>
      <c r="F46" s="122"/>
      <c r="G46" s="122"/>
    </row>
    <row r="47" spans="1:7" x14ac:dyDescent="0.3">
      <c r="A47" s="143"/>
      <c r="B47" s="154"/>
      <c r="C47" s="144"/>
      <c r="D47" s="117" t="s">
        <v>225</v>
      </c>
      <c r="E47" s="118" t="s">
        <v>197</v>
      </c>
      <c r="F47" s="122"/>
      <c r="G47" s="122"/>
    </row>
    <row r="48" spans="1:7" x14ac:dyDescent="0.3">
      <c r="A48" s="143"/>
      <c r="B48" s="154"/>
      <c r="C48" s="144"/>
      <c r="D48" s="117" t="s">
        <v>182</v>
      </c>
      <c r="E48" s="118" t="s">
        <v>197</v>
      </c>
      <c r="F48" s="122"/>
      <c r="G48" s="122"/>
    </row>
    <row r="49" spans="1:7" ht="27.6" x14ac:dyDescent="0.3">
      <c r="A49" s="152"/>
      <c r="B49" s="156"/>
      <c r="C49" s="136"/>
      <c r="D49" s="117" t="s">
        <v>247</v>
      </c>
      <c r="E49" s="118" t="s">
        <v>197</v>
      </c>
      <c r="F49" s="122"/>
      <c r="G49" s="122"/>
    </row>
  </sheetData>
  <mergeCells count="12">
    <mergeCell ref="C12:C24"/>
    <mergeCell ref="C25:C26"/>
    <mergeCell ref="C32:C39"/>
    <mergeCell ref="C40:C41"/>
    <mergeCell ref="C42:C44"/>
    <mergeCell ref="C46:C49"/>
    <mergeCell ref="B2:B26"/>
    <mergeCell ref="C27:C31"/>
    <mergeCell ref="B27:B44"/>
    <mergeCell ref="B45:B49"/>
    <mergeCell ref="C2:C11"/>
    <mergeCell ref="A2:A49"/>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7" workbookViewId="0">
      <selection activeCell="D9" sqref="D9"/>
    </sheetView>
  </sheetViews>
  <sheetFormatPr defaultColWidth="14.44140625" defaultRowHeight="15" customHeight="1" x14ac:dyDescent="0.3"/>
  <cols>
    <col min="1" max="1" width="1.5546875" customWidth="1"/>
    <col min="2" max="2" width="13.44140625" customWidth="1"/>
    <col min="3" max="3" width="30.33203125" customWidth="1"/>
    <col min="4" max="4" width="19.5546875" customWidth="1"/>
    <col min="5" max="5" width="32.109375" customWidth="1"/>
    <col min="6" max="6" width="35" customWidth="1"/>
    <col min="7" max="26" width="9.109375" customWidth="1"/>
  </cols>
  <sheetData>
    <row r="1" spans="1:26" ht="25.5" customHeight="1" x14ac:dyDescent="0.4">
      <c r="A1" s="7"/>
      <c r="B1" s="29"/>
      <c r="C1" s="30"/>
      <c r="D1" s="31" t="s">
        <v>17</v>
      </c>
      <c r="E1" s="32"/>
      <c r="F1" s="30"/>
      <c r="G1" s="7"/>
      <c r="H1" s="7"/>
      <c r="I1" s="7"/>
      <c r="J1" s="7"/>
      <c r="K1" s="7"/>
      <c r="L1" s="7"/>
      <c r="M1" s="7"/>
      <c r="N1" s="7"/>
      <c r="O1" s="7"/>
      <c r="P1" s="7"/>
      <c r="Q1" s="7"/>
      <c r="R1" s="7"/>
      <c r="S1" s="7"/>
      <c r="T1" s="7"/>
      <c r="U1" s="7"/>
      <c r="V1" s="7"/>
      <c r="W1" s="7"/>
      <c r="X1" s="7"/>
      <c r="Y1" s="7"/>
      <c r="Z1" s="7"/>
    </row>
    <row r="2" spans="1:26" ht="13.5" customHeight="1" x14ac:dyDescent="0.3">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x14ac:dyDescent="0.3">
      <c r="A3" s="7"/>
      <c r="B3" s="160" t="s">
        <v>1</v>
      </c>
      <c r="C3" s="161"/>
      <c r="D3" s="162" t="str">
        <f>Cover!C4</f>
        <v>Website CellphoneS</v>
      </c>
      <c r="E3" s="132"/>
      <c r="F3" s="133"/>
      <c r="G3" s="7"/>
      <c r="H3" s="7"/>
      <c r="I3" s="7"/>
      <c r="J3" s="7"/>
      <c r="K3" s="7"/>
      <c r="L3" s="7"/>
      <c r="M3" s="7"/>
      <c r="N3" s="7"/>
      <c r="O3" s="7"/>
      <c r="P3" s="7"/>
      <c r="Q3" s="7"/>
      <c r="R3" s="7"/>
      <c r="S3" s="7"/>
      <c r="T3" s="7"/>
      <c r="U3" s="7"/>
      <c r="V3" s="7"/>
      <c r="W3" s="7"/>
      <c r="X3" s="7"/>
      <c r="Y3" s="7"/>
      <c r="Z3" s="7"/>
    </row>
    <row r="4" spans="1:26" ht="12.75" customHeight="1" x14ac:dyDescent="0.3">
      <c r="A4" s="7"/>
      <c r="B4" s="160" t="s">
        <v>3</v>
      </c>
      <c r="C4" s="161"/>
      <c r="D4" s="162" t="str">
        <f>Cover!C5</f>
        <v>Website CellphoneS</v>
      </c>
      <c r="E4" s="132"/>
      <c r="F4" s="133"/>
      <c r="G4" s="7"/>
      <c r="H4" s="7"/>
      <c r="I4" s="7"/>
      <c r="J4" s="7"/>
      <c r="K4" s="7"/>
      <c r="L4" s="7"/>
      <c r="M4" s="7"/>
      <c r="N4" s="7"/>
      <c r="O4" s="7"/>
      <c r="P4" s="7"/>
      <c r="Q4" s="7"/>
      <c r="R4" s="7"/>
      <c r="S4" s="7"/>
      <c r="T4" s="7"/>
      <c r="U4" s="7"/>
      <c r="V4" s="7"/>
      <c r="W4" s="7"/>
      <c r="X4" s="7"/>
      <c r="Y4" s="7"/>
      <c r="Z4" s="7"/>
    </row>
    <row r="5" spans="1:26" ht="84.75" customHeight="1" x14ac:dyDescent="0.3">
      <c r="A5" s="34"/>
      <c r="B5" s="163" t="s">
        <v>18</v>
      </c>
      <c r="C5" s="133"/>
      <c r="D5" s="164" t="s">
        <v>19</v>
      </c>
      <c r="E5" s="132"/>
      <c r="F5" s="133"/>
      <c r="G5" s="34"/>
      <c r="H5" s="34"/>
      <c r="I5" s="34"/>
      <c r="J5" s="34"/>
      <c r="K5" s="34"/>
      <c r="L5" s="34"/>
      <c r="M5" s="34"/>
      <c r="N5" s="34"/>
      <c r="O5" s="34"/>
      <c r="P5" s="34"/>
      <c r="Q5" s="34"/>
      <c r="R5" s="34"/>
      <c r="S5" s="34"/>
      <c r="T5" s="34"/>
      <c r="U5" s="34"/>
      <c r="V5" s="34"/>
      <c r="W5" s="34"/>
      <c r="X5" s="34"/>
      <c r="Y5" s="34"/>
      <c r="Z5" s="34"/>
    </row>
    <row r="6" spans="1:26" ht="12.75" customHeight="1" x14ac:dyDescent="0.3">
      <c r="A6" s="7"/>
      <c r="B6" s="35"/>
      <c r="C6" s="7"/>
      <c r="D6" s="7"/>
      <c r="E6" s="7"/>
      <c r="F6" s="7"/>
      <c r="G6" s="7"/>
      <c r="H6" s="7"/>
      <c r="I6" s="7"/>
      <c r="J6" s="7"/>
      <c r="K6" s="7"/>
      <c r="L6" s="7"/>
      <c r="M6" s="7"/>
      <c r="N6" s="7"/>
      <c r="O6" s="7"/>
      <c r="P6" s="7"/>
      <c r="Q6" s="7"/>
      <c r="R6" s="7"/>
      <c r="S6" s="7"/>
      <c r="T6" s="7"/>
      <c r="U6" s="7"/>
      <c r="V6" s="7"/>
      <c r="W6" s="7"/>
      <c r="X6" s="7"/>
      <c r="Y6" s="7"/>
      <c r="Z6" s="7"/>
    </row>
    <row r="7" spans="1:26" ht="12.75" customHeight="1" x14ac:dyDescent="0.3">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x14ac:dyDescent="0.3">
      <c r="A8" s="39"/>
      <c r="B8" s="40" t="s">
        <v>20</v>
      </c>
      <c r="C8" s="41" t="s">
        <v>21</v>
      </c>
      <c r="D8" s="41" t="s">
        <v>22</v>
      </c>
      <c r="E8" s="42" t="s">
        <v>23</v>
      </c>
      <c r="F8" s="43" t="s">
        <v>24</v>
      </c>
      <c r="G8" s="39"/>
      <c r="H8" s="39"/>
      <c r="I8" s="39"/>
      <c r="J8" s="39"/>
      <c r="K8" s="39"/>
      <c r="L8" s="39"/>
      <c r="M8" s="39"/>
      <c r="N8" s="39"/>
      <c r="O8" s="39"/>
      <c r="P8" s="39"/>
      <c r="Q8" s="39"/>
      <c r="R8" s="39"/>
      <c r="S8" s="39"/>
      <c r="T8" s="39"/>
      <c r="U8" s="39"/>
      <c r="V8" s="39"/>
      <c r="W8" s="39"/>
      <c r="X8" s="39"/>
      <c r="Y8" s="39"/>
      <c r="Z8" s="39"/>
    </row>
    <row r="9" spans="1:26" ht="13.5" customHeight="1" x14ac:dyDescent="0.3">
      <c r="A9" s="7"/>
      <c r="B9" s="44">
        <v>1</v>
      </c>
      <c r="C9" s="109" t="s">
        <v>185</v>
      </c>
      <c r="D9" s="110" t="s">
        <v>185</v>
      </c>
      <c r="E9" s="46"/>
      <c r="F9" s="47"/>
      <c r="G9" s="7"/>
      <c r="H9" s="7"/>
      <c r="I9" s="7"/>
      <c r="J9" s="7"/>
      <c r="K9" s="7"/>
      <c r="L9" s="7"/>
      <c r="M9" s="7"/>
      <c r="N9" s="7"/>
      <c r="O9" s="7"/>
      <c r="P9" s="7"/>
      <c r="Q9" s="7"/>
      <c r="R9" s="7"/>
      <c r="S9" s="7"/>
      <c r="T9" s="7"/>
      <c r="U9" s="7"/>
      <c r="V9" s="7"/>
      <c r="W9" s="7"/>
      <c r="X9" s="7"/>
      <c r="Y9" s="7"/>
      <c r="Z9" s="7"/>
    </row>
    <row r="10" spans="1:26" ht="12.75" customHeight="1" x14ac:dyDescent="0.3">
      <c r="A10" s="7"/>
      <c r="B10" s="44"/>
      <c r="C10" s="48" t="s">
        <v>25</v>
      </c>
      <c r="D10" s="46"/>
      <c r="E10" s="49"/>
      <c r="F10" s="47"/>
      <c r="G10" s="7"/>
      <c r="H10" s="7"/>
      <c r="I10" s="7"/>
      <c r="J10" s="7"/>
      <c r="K10" s="7"/>
      <c r="L10" s="7"/>
      <c r="M10" s="7"/>
      <c r="N10" s="7"/>
      <c r="O10" s="7"/>
      <c r="P10" s="7"/>
      <c r="Q10" s="7"/>
      <c r="R10" s="7"/>
      <c r="S10" s="7"/>
      <c r="T10" s="7"/>
      <c r="U10" s="7"/>
      <c r="V10" s="7"/>
      <c r="W10" s="7"/>
      <c r="X10" s="7"/>
      <c r="Y10" s="7"/>
      <c r="Z10" s="7"/>
    </row>
    <row r="11" spans="1:26" ht="12.75" customHeight="1" x14ac:dyDescent="0.3">
      <c r="A11" s="7"/>
      <c r="B11" s="44"/>
      <c r="C11" s="45"/>
      <c r="D11" s="46"/>
      <c r="E11" s="46"/>
      <c r="F11" s="47"/>
      <c r="G11" s="7"/>
      <c r="H11" s="7"/>
      <c r="I11" s="7"/>
      <c r="J11" s="7"/>
      <c r="K11" s="7"/>
      <c r="L11" s="7"/>
      <c r="M11" s="7"/>
      <c r="N11" s="7"/>
      <c r="O11" s="7"/>
      <c r="P11" s="7"/>
      <c r="Q11" s="7"/>
      <c r="R11" s="7"/>
      <c r="S11" s="7"/>
      <c r="T11" s="7"/>
      <c r="U11" s="7"/>
      <c r="V11" s="7"/>
      <c r="W11" s="7"/>
      <c r="X11" s="7"/>
      <c r="Y11" s="7"/>
      <c r="Z11" s="7"/>
    </row>
    <row r="12" spans="1:26" ht="12.75" customHeight="1" x14ac:dyDescent="0.3">
      <c r="A12" s="7"/>
      <c r="B12" s="44"/>
      <c r="C12" s="45"/>
      <c r="D12" s="46"/>
      <c r="E12" s="46"/>
      <c r="F12" s="47"/>
      <c r="G12" s="7"/>
      <c r="H12" s="7"/>
      <c r="I12" s="7"/>
      <c r="J12" s="7"/>
      <c r="K12" s="7"/>
      <c r="L12" s="7"/>
      <c r="M12" s="7"/>
      <c r="N12" s="7"/>
      <c r="O12" s="7"/>
      <c r="P12" s="7"/>
      <c r="Q12" s="7"/>
      <c r="R12" s="7"/>
      <c r="S12" s="7"/>
      <c r="T12" s="7"/>
      <c r="U12" s="7"/>
      <c r="V12" s="7"/>
      <c r="W12" s="7"/>
      <c r="X12" s="7"/>
      <c r="Y12" s="7"/>
      <c r="Z12" s="7"/>
    </row>
    <row r="13" spans="1:26" ht="12.75" customHeight="1" x14ac:dyDescent="0.3">
      <c r="A13" s="7"/>
      <c r="B13" s="44"/>
      <c r="C13" s="45"/>
      <c r="D13" s="49"/>
      <c r="E13" s="49"/>
      <c r="F13" s="47"/>
      <c r="G13" s="7"/>
      <c r="H13" s="7"/>
      <c r="I13" s="7"/>
      <c r="J13" s="7"/>
      <c r="K13" s="7"/>
      <c r="L13" s="7"/>
      <c r="M13" s="7"/>
      <c r="N13" s="7"/>
      <c r="O13" s="7"/>
      <c r="P13" s="7"/>
      <c r="Q13" s="7"/>
      <c r="R13" s="7"/>
      <c r="S13" s="7"/>
      <c r="T13" s="7"/>
      <c r="U13" s="7"/>
      <c r="V13" s="7"/>
      <c r="W13" s="7"/>
      <c r="X13" s="7"/>
      <c r="Y13" s="7"/>
      <c r="Z13" s="7"/>
    </row>
    <row r="14" spans="1:26" ht="12.75" customHeight="1" x14ac:dyDescent="0.3">
      <c r="A14" s="7"/>
      <c r="B14" s="44"/>
      <c r="C14" s="45"/>
      <c r="D14" s="49"/>
      <c r="E14" s="49"/>
      <c r="F14" s="47"/>
      <c r="G14" s="7"/>
      <c r="H14" s="7"/>
      <c r="I14" s="7"/>
      <c r="J14" s="7"/>
      <c r="K14" s="7"/>
      <c r="L14" s="7"/>
      <c r="M14" s="7"/>
      <c r="N14" s="7"/>
      <c r="O14" s="7"/>
      <c r="P14" s="7"/>
      <c r="Q14" s="7"/>
      <c r="R14" s="7"/>
      <c r="S14" s="7"/>
      <c r="T14" s="7"/>
      <c r="U14" s="7"/>
      <c r="V14" s="7"/>
      <c r="W14" s="7"/>
      <c r="X14" s="7"/>
      <c r="Y14" s="7"/>
      <c r="Z14" s="7"/>
    </row>
    <row r="15" spans="1:26" ht="12.75" customHeight="1" x14ac:dyDescent="0.3">
      <c r="A15" s="7"/>
      <c r="B15" s="44"/>
      <c r="C15" s="45"/>
      <c r="D15" s="49"/>
      <c r="E15" s="49"/>
      <c r="F15" s="47"/>
      <c r="G15" s="7"/>
      <c r="H15" s="7"/>
      <c r="I15" s="7"/>
      <c r="J15" s="7"/>
      <c r="K15" s="7"/>
      <c r="L15" s="7"/>
      <c r="M15" s="7"/>
      <c r="N15" s="7"/>
      <c r="O15" s="7"/>
      <c r="P15" s="7"/>
      <c r="Q15" s="7"/>
      <c r="R15" s="7"/>
      <c r="S15" s="7"/>
      <c r="T15" s="7"/>
      <c r="U15" s="7"/>
      <c r="V15" s="7"/>
      <c r="W15" s="7"/>
      <c r="X15" s="7"/>
      <c r="Y15" s="7"/>
      <c r="Z15" s="7"/>
    </row>
    <row r="16" spans="1:26" ht="12.75" customHeight="1" x14ac:dyDescent="0.3">
      <c r="A16" s="7"/>
      <c r="B16" s="44"/>
      <c r="C16" s="45"/>
      <c r="D16" s="49"/>
      <c r="E16" s="49"/>
      <c r="F16" s="47"/>
      <c r="G16" s="7"/>
      <c r="H16" s="7"/>
      <c r="I16" s="7"/>
      <c r="J16" s="7"/>
      <c r="K16" s="7"/>
      <c r="L16" s="7"/>
      <c r="M16" s="7"/>
      <c r="N16" s="7"/>
      <c r="O16" s="7"/>
      <c r="P16" s="7"/>
      <c r="Q16" s="7"/>
      <c r="R16" s="7"/>
      <c r="S16" s="7"/>
      <c r="T16" s="7"/>
      <c r="U16" s="7"/>
      <c r="V16" s="7"/>
      <c r="W16" s="7"/>
      <c r="X16" s="7"/>
      <c r="Y16" s="7"/>
      <c r="Z16" s="7"/>
    </row>
    <row r="17" spans="1:26" ht="12.75" customHeight="1" x14ac:dyDescent="0.3">
      <c r="A17" s="7"/>
      <c r="B17" s="44"/>
      <c r="C17" s="45"/>
      <c r="D17" s="49"/>
      <c r="E17" s="49"/>
      <c r="F17" s="47"/>
      <c r="G17" s="7"/>
      <c r="H17" s="7"/>
      <c r="I17" s="7"/>
      <c r="J17" s="7"/>
      <c r="K17" s="7"/>
      <c r="L17" s="7"/>
      <c r="M17" s="7"/>
      <c r="N17" s="7"/>
      <c r="O17" s="7"/>
      <c r="P17" s="7"/>
      <c r="Q17" s="7"/>
      <c r="R17" s="7"/>
      <c r="S17" s="7"/>
      <c r="T17" s="7"/>
      <c r="U17" s="7"/>
      <c r="V17" s="7"/>
      <c r="W17" s="7"/>
      <c r="X17" s="7"/>
      <c r="Y17" s="7"/>
      <c r="Z17" s="7"/>
    </row>
    <row r="18" spans="1:26" ht="12.75" customHeight="1" x14ac:dyDescent="0.3">
      <c r="A18" s="7"/>
      <c r="B18" s="44"/>
      <c r="C18" s="45"/>
      <c r="D18" s="49"/>
      <c r="E18" s="49"/>
      <c r="F18" s="47"/>
      <c r="G18" s="7"/>
      <c r="H18" s="7"/>
      <c r="I18" s="7"/>
      <c r="J18" s="7"/>
      <c r="K18" s="7"/>
      <c r="L18" s="7"/>
      <c r="M18" s="7"/>
      <c r="N18" s="7"/>
      <c r="O18" s="7"/>
      <c r="P18" s="7"/>
      <c r="Q18" s="7"/>
      <c r="R18" s="7"/>
      <c r="S18" s="7"/>
      <c r="T18" s="7"/>
      <c r="U18" s="7"/>
      <c r="V18" s="7"/>
      <c r="W18" s="7"/>
      <c r="X18" s="7"/>
      <c r="Y18" s="7"/>
      <c r="Z18" s="7"/>
    </row>
    <row r="19" spans="1:26" ht="12.75" customHeight="1" x14ac:dyDescent="0.3">
      <c r="A19" s="7"/>
      <c r="B19" s="44"/>
      <c r="C19" s="45"/>
      <c r="D19" s="49"/>
      <c r="E19" s="49"/>
      <c r="F19" s="47"/>
      <c r="G19" s="7"/>
      <c r="H19" s="7"/>
      <c r="I19" s="7"/>
      <c r="J19" s="7"/>
      <c r="K19" s="7"/>
      <c r="L19" s="7"/>
      <c r="M19" s="7"/>
      <c r="N19" s="7"/>
      <c r="O19" s="7"/>
      <c r="P19" s="7"/>
      <c r="Q19" s="7"/>
      <c r="R19" s="7"/>
      <c r="S19" s="7"/>
      <c r="T19" s="7"/>
      <c r="U19" s="7"/>
      <c r="V19" s="7"/>
      <c r="W19" s="7"/>
      <c r="X19" s="7"/>
      <c r="Y19" s="7"/>
      <c r="Z19" s="7"/>
    </row>
    <row r="20" spans="1:26" ht="12.75" customHeight="1" x14ac:dyDescent="0.3">
      <c r="A20" s="7"/>
      <c r="B20" s="50"/>
      <c r="C20" s="51"/>
      <c r="D20" s="52"/>
      <c r="E20" s="52"/>
      <c r="F20" s="53"/>
      <c r="G20" s="7"/>
      <c r="H20" s="7"/>
      <c r="I20" s="7"/>
      <c r="J20" s="7"/>
      <c r="K20" s="7"/>
      <c r="L20" s="7"/>
      <c r="M20" s="7"/>
      <c r="N20" s="7"/>
      <c r="O20" s="7"/>
      <c r="P20" s="7"/>
      <c r="Q20" s="7"/>
      <c r="R20" s="7"/>
      <c r="S20" s="7"/>
      <c r="T20" s="7"/>
      <c r="U20" s="7"/>
      <c r="V20" s="7"/>
      <c r="W20" s="7"/>
      <c r="X20" s="7"/>
      <c r="Y20" s="7"/>
      <c r="Z20" s="7"/>
    </row>
    <row r="21" spans="1:26" ht="12.75" customHeight="1" x14ac:dyDescent="0.3">
      <c r="A21" s="7"/>
      <c r="B21" s="29"/>
      <c r="C21" s="30"/>
      <c r="D21" s="30"/>
      <c r="E21" s="30"/>
      <c r="F21" s="30"/>
      <c r="G21" s="7"/>
      <c r="H21" s="7"/>
      <c r="I21" s="7"/>
      <c r="J21" s="7"/>
      <c r="K21" s="7"/>
      <c r="L21" s="7"/>
      <c r="M21" s="7"/>
      <c r="N21" s="7"/>
      <c r="O21" s="7"/>
      <c r="P21" s="7"/>
      <c r="Q21" s="7"/>
      <c r="R21" s="7"/>
      <c r="S21" s="7"/>
      <c r="T21" s="7"/>
      <c r="U21" s="7"/>
      <c r="V21" s="7"/>
      <c r="W21" s="7"/>
      <c r="X21" s="7"/>
      <c r="Y21" s="7"/>
      <c r="Z21" s="7"/>
    </row>
    <row r="22" spans="1:26" ht="12.75" customHeight="1" x14ac:dyDescent="0.3">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x14ac:dyDescent="0.3">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x14ac:dyDescent="0.3">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x14ac:dyDescent="0.3">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x14ac:dyDescent="0.3">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x14ac:dyDescent="0.3">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x14ac:dyDescent="0.3">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x14ac:dyDescent="0.3">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x14ac:dyDescent="0.3">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x14ac:dyDescent="0.3">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x14ac:dyDescent="0.3">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x14ac:dyDescent="0.3">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x14ac:dyDescent="0.3">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x14ac:dyDescent="0.3">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x14ac:dyDescent="0.3">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x14ac:dyDescent="0.3">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x14ac:dyDescent="0.3">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x14ac:dyDescent="0.3">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x14ac:dyDescent="0.3">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x14ac:dyDescent="0.3">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x14ac:dyDescent="0.3">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x14ac:dyDescent="0.3">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x14ac:dyDescent="0.3">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x14ac:dyDescent="0.3">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x14ac:dyDescent="0.3">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x14ac:dyDescent="0.3">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x14ac:dyDescent="0.3">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x14ac:dyDescent="0.3">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x14ac:dyDescent="0.3">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x14ac:dyDescent="0.3">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x14ac:dyDescent="0.3">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x14ac:dyDescent="0.3">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x14ac:dyDescent="0.3">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x14ac:dyDescent="0.3">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x14ac:dyDescent="0.3">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x14ac:dyDescent="0.3">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x14ac:dyDescent="0.3">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x14ac:dyDescent="0.3">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x14ac:dyDescent="0.3">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x14ac:dyDescent="0.3">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x14ac:dyDescent="0.3">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x14ac:dyDescent="0.3">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x14ac:dyDescent="0.3">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x14ac:dyDescent="0.3">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x14ac:dyDescent="0.3">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x14ac:dyDescent="0.3">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x14ac:dyDescent="0.3">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x14ac:dyDescent="0.3">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x14ac:dyDescent="0.3">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x14ac:dyDescent="0.3">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x14ac:dyDescent="0.3">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x14ac:dyDescent="0.3">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x14ac:dyDescent="0.3">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x14ac:dyDescent="0.3">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x14ac:dyDescent="0.3">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x14ac:dyDescent="0.3">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x14ac:dyDescent="0.3">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x14ac:dyDescent="0.3">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x14ac:dyDescent="0.3">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x14ac:dyDescent="0.3">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x14ac:dyDescent="0.3">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x14ac:dyDescent="0.3">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x14ac:dyDescent="0.3">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x14ac:dyDescent="0.3">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x14ac:dyDescent="0.3">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x14ac:dyDescent="0.3">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x14ac:dyDescent="0.3">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x14ac:dyDescent="0.3">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x14ac:dyDescent="0.3">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x14ac:dyDescent="0.3">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x14ac:dyDescent="0.3">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x14ac:dyDescent="0.3">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x14ac:dyDescent="0.3">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x14ac:dyDescent="0.3">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x14ac:dyDescent="0.3">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x14ac:dyDescent="0.3">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x14ac:dyDescent="0.3">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x14ac:dyDescent="0.3">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sheetData>
  <mergeCells count="6">
    <mergeCell ref="B3:C3"/>
    <mergeCell ref="D3:F3"/>
    <mergeCell ref="B4:C4"/>
    <mergeCell ref="D4:F4"/>
    <mergeCell ref="B5:C5"/>
    <mergeCell ref="D5:F5"/>
  </mergeCells>
  <hyperlinks>
    <hyperlink ref="D9" location="SearchAndFilter!A1" display="SearchAndFilter" xr:uid="{C5D3F0B4-580C-48B9-B236-737A8619BF21}"/>
  </hyperlinks>
  <pageMargins left="0.7" right="0.7" top="0.75" bottom="0.75"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F601-7CD3-48C1-AB0C-C2CEEAADC06B}">
  <dimension ref="A1:Z1015"/>
  <sheetViews>
    <sheetView tabSelected="1" zoomScale="58" zoomScaleNormal="58" workbookViewId="0">
      <pane ySplit="8" topLeftCell="A9" activePane="bottomLeft" state="frozen"/>
      <selection pane="bottomLeft" activeCell="O12" sqref="O12"/>
    </sheetView>
  </sheetViews>
  <sheetFormatPr defaultColWidth="14.44140625" defaultRowHeight="15" customHeight="1" x14ac:dyDescent="0.3"/>
  <cols>
    <col min="1" max="1" width="28.88671875" customWidth="1"/>
    <col min="2" max="2" width="24.5546875" customWidth="1"/>
    <col min="3" max="3" width="29.33203125" customWidth="1"/>
    <col min="4" max="4" width="34.44140625" customWidth="1"/>
    <col min="5" max="5" width="15.109375" customWidth="1"/>
    <col min="6" max="6" width="13.5546875" customWidth="1"/>
    <col min="7" max="7" width="13" customWidth="1"/>
    <col min="8" max="8" width="20.109375" customWidth="1"/>
    <col min="9" max="9" width="8.77734375" customWidth="1"/>
    <col min="10" max="10" width="7.5546875" hidden="1" customWidth="1"/>
    <col min="11" max="11" width="10.33203125" customWidth="1"/>
    <col min="12" max="12" width="23.109375" customWidth="1"/>
    <col min="13" max="26" width="9.109375" customWidth="1"/>
  </cols>
  <sheetData>
    <row r="1" spans="1:26" ht="13.5" customHeight="1" thickBot="1" x14ac:dyDescent="0.35">
      <c r="A1" s="54"/>
      <c r="B1" s="72"/>
      <c r="C1" s="72"/>
      <c r="D1" s="72"/>
      <c r="E1" s="72"/>
      <c r="G1" s="55"/>
      <c r="H1" s="34"/>
      <c r="I1" s="56"/>
      <c r="J1" s="57"/>
      <c r="K1" s="57"/>
      <c r="L1" s="57"/>
      <c r="M1" s="57"/>
      <c r="N1" s="57"/>
      <c r="O1" s="57"/>
      <c r="P1" s="57"/>
      <c r="Q1" s="57"/>
      <c r="R1" s="57"/>
      <c r="S1" s="57"/>
      <c r="T1" s="57"/>
      <c r="U1" s="57"/>
      <c r="V1" s="57"/>
      <c r="W1" s="57"/>
      <c r="X1" s="57"/>
      <c r="Y1" s="57"/>
      <c r="Z1" s="57"/>
    </row>
    <row r="2" spans="1:26" ht="15" customHeight="1" x14ac:dyDescent="0.3">
      <c r="A2" s="58" t="s">
        <v>27</v>
      </c>
      <c r="B2" s="165" t="s">
        <v>57</v>
      </c>
      <c r="C2" s="132"/>
      <c r="D2" s="132"/>
      <c r="E2" s="132"/>
      <c r="F2" s="132"/>
      <c r="G2" s="132"/>
      <c r="H2" s="133"/>
      <c r="I2" s="56"/>
      <c r="J2" s="57" t="s">
        <v>28</v>
      </c>
      <c r="K2" s="57"/>
      <c r="L2" s="57"/>
      <c r="M2" s="57"/>
      <c r="N2" s="57"/>
      <c r="O2" s="57"/>
      <c r="P2" s="57"/>
      <c r="Q2" s="57"/>
      <c r="R2" s="57"/>
      <c r="S2" s="57"/>
      <c r="T2" s="57"/>
      <c r="U2" s="57"/>
      <c r="V2" s="57"/>
      <c r="W2" s="57"/>
      <c r="X2" s="57"/>
      <c r="Y2" s="57"/>
      <c r="Z2" s="57"/>
    </row>
    <row r="3" spans="1:26" ht="25.5" customHeight="1" x14ac:dyDescent="0.3">
      <c r="A3" s="59" t="s">
        <v>29</v>
      </c>
      <c r="B3" s="165" t="s">
        <v>57</v>
      </c>
      <c r="C3" s="132"/>
      <c r="D3" s="132"/>
      <c r="E3" s="132"/>
      <c r="F3" s="132"/>
      <c r="G3" s="132"/>
      <c r="H3" s="133"/>
      <c r="I3" s="56"/>
      <c r="J3" s="57" t="s">
        <v>30</v>
      </c>
      <c r="K3" s="57"/>
      <c r="L3" s="57"/>
      <c r="M3" s="57"/>
      <c r="N3" s="57"/>
      <c r="O3" s="57"/>
      <c r="P3" s="57"/>
      <c r="Q3" s="57"/>
      <c r="R3" s="57"/>
      <c r="S3" s="57"/>
      <c r="T3" s="57"/>
      <c r="U3" s="57"/>
      <c r="V3" s="57"/>
      <c r="W3" s="57"/>
      <c r="X3" s="57"/>
      <c r="Y3" s="57"/>
      <c r="Z3" s="57"/>
    </row>
    <row r="4" spans="1:26" ht="18" customHeight="1" x14ac:dyDescent="0.3">
      <c r="A4" s="58" t="s">
        <v>31</v>
      </c>
      <c r="B4" s="165" t="s">
        <v>56</v>
      </c>
      <c r="C4" s="132"/>
      <c r="D4" s="132"/>
      <c r="E4" s="132"/>
      <c r="F4" s="132"/>
      <c r="G4" s="132"/>
      <c r="H4" s="133"/>
      <c r="I4" s="56"/>
      <c r="J4" s="57" t="s">
        <v>32</v>
      </c>
      <c r="K4" s="57"/>
      <c r="L4" s="57"/>
      <c r="M4" s="57"/>
      <c r="N4" s="57"/>
      <c r="O4" s="57"/>
      <c r="P4" s="57"/>
      <c r="Q4" s="57"/>
      <c r="R4" s="57"/>
      <c r="S4" s="57"/>
      <c r="T4" s="57"/>
      <c r="U4" s="57"/>
      <c r="V4" s="57"/>
      <c r="W4" s="57"/>
      <c r="X4" s="57"/>
      <c r="Y4" s="57"/>
      <c r="Z4" s="57"/>
    </row>
    <row r="5" spans="1:26" ht="19.5" customHeight="1" x14ac:dyDescent="0.3">
      <c r="A5" s="60" t="s">
        <v>28</v>
      </c>
      <c r="B5" s="61" t="s">
        <v>30</v>
      </c>
      <c r="C5" s="61" t="s">
        <v>33</v>
      </c>
      <c r="D5" s="61" t="s">
        <v>32</v>
      </c>
      <c r="E5" s="62" t="s">
        <v>34</v>
      </c>
      <c r="F5" s="166" t="s">
        <v>35</v>
      </c>
      <c r="G5" s="132"/>
      <c r="H5" s="133"/>
      <c r="I5" s="63"/>
      <c r="J5" s="57" t="s">
        <v>33</v>
      </c>
      <c r="K5" s="57"/>
      <c r="M5" s="57"/>
      <c r="N5" s="57"/>
      <c r="O5" s="57"/>
      <c r="P5" s="57"/>
      <c r="Q5" s="57"/>
      <c r="R5" s="57"/>
      <c r="S5" s="57"/>
      <c r="T5" s="57"/>
      <c r="U5" s="57"/>
      <c r="V5" s="57"/>
      <c r="W5" s="57"/>
      <c r="X5" s="57"/>
      <c r="Y5" s="57"/>
      <c r="Z5" s="57"/>
    </row>
    <row r="6" spans="1:26" ht="15" customHeight="1" thickBot="1" x14ac:dyDescent="0.35">
      <c r="A6" s="64">
        <f>COUNTIF(F9:F1011,"Passed")</f>
        <v>56</v>
      </c>
      <c r="B6" s="65">
        <f>COUNTIF(F9:F1011,"Failed")</f>
        <v>10</v>
      </c>
      <c r="C6" s="65">
        <f>F6-E6-D6-B6-A6</f>
        <v>0</v>
      </c>
      <c r="D6" s="65">
        <f>COUNTIF(F$9:F$1011,"Blocked")</f>
        <v>0</v>
      </c>
      <c r="E6" s="66">
        <f>COUNTIF(F$9:F$1011,"Skipped")</f>
        <v>0</v>
      </c>
      <c r="F6" s="167">
        <f>COUNTA(A9:A1011)</f>
        <v>66</v>
      </c>
      <c r="G6" s="132"/>
      <c r="H6" s="133"/>
      <c r="I6" s="63"/>
      <c r="J6" s="57" t="s">
        <v>34</v>
      </c>
      <c r="K6" s="57" t="s">
        <v>311</v>
      </c>
      <c r="M6" s="57"/>
      <c r="N6" s="57"/>
      <c r="O6" s="57"/>
      <c r="P6" s="57"/>
      <c r="Q6" s="57"/>
      <c r="R6" s="57"/>
      <c r="S6" s="57"/>
      <c r="T6" s="57"/>
      <c r="U6" s="57"/>
      <c r="V6" s="57"/>
      <c r="W6" s="57"/>
      <c r="X6" s="57"/>
      <c r="Y6" s="57"/>
      <c r="Z6" s="57"/>
    </row>
    <row r="7" spans="1:26" ht="15" customHeight="1" thickBot="1" x14ac:dyDescent="0.35">
      <c r="A7" s="57"/>
      <c r="B7" s="57"/>
      <c r="C7" s="57"/>
      <c r="D7" s="67"/>
      <c r="E7" s="67"/>
      <c r="F7" s="73"/>
      <c r="G7" s="67"/>
      <c r="H7" s="67"/>
      <c r="I7" s="63"/>
      <c r="J7" s="57"/>
      <c r="K7" s="57" t="s">
        <v>312</v>
      </c>
      <c r="L7" s="57"/>
      <c r="M7" s="57"/>
      <c r="N7" s="57"/>
      <c r="O7" s="57"/>
      <c r="P7" s="57"/>
      <c r="Q7" s="57"/>
      <c r="R7" s="57"/>
      <c r="S7" s="57"/>
      <c r="T7" s="57"/>
      <c r="U7" s="57"/>
      <c r="V7" s="57"/>
      <c r="W7" s="57"/>
      <c r="X7" s="57"/>
      <c r="Y7" s="57"/>
      <c r="Z7" s="57"/>
    </row>
    <row r="8" spans="1:26" ht="25.5" customHeight="1" x14ac:dyDescent="0.3">
      <c r="A8" s="75" t="s">
        <v>36</v>
      </c>
      <c r="B8" s="74" t="s">
        <v>37</v>
      </c>
      <c r="C8" s="74" t="s">
        <v>38</v>
      </c>
      <c r="D8" s="74" t="s">
        <v>39</v>
      </c>
      <c r="E8" s="75" t="s">
        <v>40</v>
      </c>
      <c r="F8" s="75" t="s">
        <v>41</v>
      </c>
      <c r="G8" s="75" t="s">
        <v>42</v>
      </c>
      <c r="H8" s="74" t="s">
        <v>26</v>
      </c>
      <c r="I8" s="68"/>
      <c r="J8" s="57"/>
      <c r="K8" s="57" t="s">
        <v>313</v>
      </c>
      <c r="L8" s="57"/>
      <c r="M8" s="57"/>
      <c r="N8" s="57"/>
      <c r="O8" s="57"/>
      <c r="P8" s="57"/>
      <c r="Q8" s="57"/>
      <c r="R8" s="57"/>
      <c r="S8" s="57"/>
      <c r="T8" s="57"/>
      <c r="U8" s="57"/>
      <c r="V8" s="57"/>
      <c r="W8" s="57"/>
      <c r="X8" s="57"/>
      <c r="Y8" s="57"/>
      <c r="Z8" s="57"/>
    </row>
    <row r="9" spans="1:26" ht="66" x14ac:dyDescent="0.3">
      <c r="A9" s="182" t="str">
        <f>TEXT($K$6, "@") &amp; TEXT(ROW(A9)-8, "00")</f>
        <v>SearchAndFilter_Search_01</v>
      </c>
      <c r="B9" s="186" t="s">
        <v>58</v>
      </c>
      <c r="C9" s="187" t="s">
        <v>59</v>
      </c>
      <c r="D9" s="187" t="s">
        <v>60</v>
      </c>
      <c r="E9" s="188"/>
      <c r="F9" s="189" t="s">
        <v>30</v>
      </c>
      <c r="G9" s="190">
        <v>45633</v>
      </c>
      <c r="H9" s="106"/>
      <c r="I9" s="69"/>
      <c r="J9" s="76"/>
      <c r="K9" s="76"/>
      <c r="L9" s="76"/>
      <c r="M9" s="76"/>
      <c r="N9" s="76"/>
      <c r="O9" s="76"/>
      <c r="P9" s="76"/>
      <c r="Q9" s="76"/>
      <c r="R9" s="76"/>
      <c r="S9" s="76"/>
      <c r="T9" s="76"/>
      <c r="U9" s="76"/>
      <c r="V9" s="76"/>
      <c r="W9" s="76"/>
      <c r="X9" s="76"/>
      <c r="Y9" s="76"/>
      <c r="Z9" s="76"/>
    </row>
    <row r="10" spans="1:26" ht="66" x14ac:dyDescent="0.3">
      <c r="A10" s="182" t="str">
        <f>TEXT($K$6, "@") &amp; TEXT(ROW(A10)-8, "00")</f>
        <v>SearchAndFilter_Search_02</v>
      </c>
      <c r="B10" s="186" t="s">
        <v>61</v>
      </c>
      <c r="C10" s="187" t="s">
        <v>59</v>
      </c>
      <c r="D10" s="187" t="s">
        <v>62</v>
      </c>
      <c r="E10" s="188"/>
      <c r="F10" s="189" t="s">
        <v>28</v>
      </c>
      <c r="G10" s="190">
        <v>45633</v>
      </c>
      <c r="H10" s="106"/>
      <c r="I10" s="69"/>
      <c r="J10" s="76"/>
      <c r="K10" s="76"/>
      <c r="L10" s="76"/>
      <c r="M10" s="76"/>
      <c r="N10" s="76"/>
      <c r="O10" s="76"/>
      <c r="P10" s="76"/>
      <c r="Q10" s="76"/>
      <c r="R10" s="76"/>
      <c r="S10" s="76"/>
      <c r="T10" s="76"/>
      <c r="U10" s="76"/>
      <c r="V10" s="76"/>
      <c r="W10" s="76"/>
      <c r="X10" s="76"/>
      <c r="Y10" s="76"/>
      <c r="Z10" s="76"/>
    </row>
    <row r="11" spans="1:26" ht="79.2" x14ac:dyDescent="0.3">
      <c r="A11" s="182" t="str">
        <f>TEXT($K$6, "@") &amp; TEXT(ROW(A11)-8, "00")</f>
        <v>SearchAndFilter_Search_03</v>
      </c>
      <c r="B11" s="186" t="s">
        <v>303</v>
      </c>
      <c r="C11" s="187" t="s">
        <v>304</v>
      </c>
      <c r="D11" s="187" t="s">
        <v>305</v>
      </c>
      <c r="E11" s="188"/>
      <c r="F11" s="189" t="s">
        <v>28</v>
      </c>
      <c r="G11" s="190">
        <v>45633</v>
      </c>
      <c r="H11" s="106"/>
      <c r="I11" s="124"/>
      <c r="J11" s="125"/>
      <c r="K11" s="125"/>
      <c r="L11" s="125"/>
      <c r="M11" s="125"/>
      <c r="N11" s="125"/>
      <c r="O11" s="125"/>
      <c r="P11" s="125"/>
      <c r="Q11" s="125"/>
      <c r="R11" s="125"/>
      <c r="S11" s="125"/>
      <c r="T11" s="125"/>
      <c r="U11" s="125"/>
      <c r="V11" s="125"/>
      <c r="W11" s="125"/>
      <c r="X11" s="125"/>
      <c r="Y11" s="125"/>
      <c r="Z11" s="125"/>
    </row>
    <row r="12" spans="1:26" ht="66" x14ac:dyDescent="0.3">
      <c r="A12" s="182" t="str">
        <f>TEXT($K$6, "@") &amp; TEXT(ROW(A12)-8, "00")</f>
        <v>SearchAndFilter_Search_04</v>
      </c>
      <c r="B12" s="186" t="s">
        <v>306</v>
      </c>
      <c r="C12" s="187" t="s">
        <v>304</v>
      </c>
      <c r="D12" s="187" t="s">
        <v>307</v>
      </c>
      <c r="E12" s="188"/>
      <c r="F12" s="189" t="s">
        <v>28</v>
      </c>
      <c r="G12" s="190">
        <v>45633</v>
      </c>
      <c r="H12" s="106"/>
      <c r="I12" s="124"/>
      <c r="J12" s="125"/>
      <c r="K12" s="125"/>
      <c r="L12" s="125"/>
      <c r="M12" s="125"/>
      <c r="N12" s="125"/>
      <c r="O12" s="125"/>
      <c r="P12" s="125"/>
      <c r="Q12" s="125"/>
      <c r="R12" s="125"/>
      <c r="S12" s="125"/>
      <c r="T12" s="125"/>
      <c r="U12" s="125"/>
      <c r="V12" s="125"/>
      <c r="W12" s="125"/>
      <c r="X12" s="125"/>
      <c r="Y12" s="125"/>
      <c r="Z12" s="125"/>
    </row>
    <row r="13" spans="1:26" ht="92.4" x14ac:dyDescent="0.3">
      <c r="A13" s="182" t="str">
        <f>TEXT($K$6, "@") &amp; TEXT(ROW(A13)-8, "00")</f>
        <v>SearchAndFilter_Search_05</v>
      </c>
      <c r="B13" s="186" t="s">
        <v>86</v>
      </c>
      <c r="C13" s="187" t="s">
        <v>63</v>
      </c>
      <c r="D13" s="187" t="s">
        <v>64</v>
      </c>
      <c r="E13" s="188"/>
      <c r="F13" s="189" t="s">
        <v>28</v>
      </c>
      <c r="G13" s="190">
        <v>45633</v>
      </c>
      <c r="H13" s="106"/>
      <c r="I13" s="69"/>
      <c r="J13" s="76"/>
      <c r="K13" s="76"/>
      <c r="L13" s="76"/>
      <c r="M13" s="76"/>
      <c r="N13" s="76"/>
      <c r="O13" s="76"/>
      <c r="P13" s="76"/>
      <c r="Q13" s="76"/>
      <c r="R13" s="76"/>
      <c r="S13" s="76"/>
      <c r="T13" s="76"/>
      <c r="U13" s="76"/>
      <c r="V13" s="76"/>
      <c r="W13" s="76"/>
      <c r="X13" s="76"/>
      <c r="Y13" s="76"/>
      <c r="Z13" s="76"/>
    </row>
    <row r="14" spans="1:26" ht="66" x14ac:dyDescent="0.3">
      <c r="A14" s="182" t="str">
        <f>TEXT($K$6, "@") &amp; TEXT(ROW(A14)-8, "00")</f>
        <v>SearchAndFilter_Search_06</v>
      </c>
      <c r="B14" s="186" t="s">
        <v>228</v>
      </c>
      <c r="C14" s="187" t="s">
        <v>229</v>
      </c>
      <c r="D14" s="187" t="s">
        <v>230</v>
      </c>
      <c r="E14" s="188"/>
      <c r="F14" s="189" t="s">
        <v>28</v>
      </c>
      <c r="G14" s="190">
        <v>45633</v>
      </c>
      <c r="H14" s="106"/>
      <c r="I14" s="124"/>
      <c r="J14" s="125"/>
      <c r="K14" s="125"/>
      <c r="L14" s="125"/>
      <c r="M14" s="125"/>
      <c r="N14" s="125"/>
      <c r="O14" s="125"/>
      <c r="P14" s="125"/>
      <c r="Q14" s="125"/>
      <c r="R14" s="125"/>
      <c r="S14" s="125"/>
      <c r="T14" s="125"/>
      <c r="U14" s="125"/>
      <c r="V14" s="125"/>
      <c r="W14" s="125"/>
      <c r="X14" s="125"/>
      <c r="Y14" s="125"/>
      <c r="Z14" s="125"/>
    </row>
    <row r="15" spans="1:26" ht="92.4" x14ac:dyDescent="0.3">
      <c r="A15" s="182" t="str">
        <f>TEXT($K$6, "@") &amp; TEXT(ROW(A15)-8, "00")</f>
        <v>SearchAndFilter_Search_07</v>
      </c>
      <c r="B15" s="186" t="s">
        <v>67</v>
      </c>
      <c r="C15" s="187" t="s">
        <v>68</v>
      </c>
      <c r="D15" s="187" t="s">
        <v>69</v>
      </c>
      <c r="E15" s="188"/>
      <c r="F15" s="189" t="s">
        <v>28</v>
      </c>
      <c r="G15" s="190">
        <v>45633</v>
      </c>
      <c r="H15" s="106"/>
      <c r="I15" s="69"/>
      <c r="J15" s="76"/>
      <c r="K15" s="76"/>
      <c r="L15" s="76"/>
      <c r="M15" s="76"/>
      <c r="N15" s="76"/>
      <c r="O15" s="76"/>
      <c r="P15" s="76"/>
      <c r="Q15" s="76"/>
      <c r="R15" s="76"/>
      <c r="S15" s="76"/>
      <c r="T15" s="76"/>
      <c r="U15" s="76"/>
      <c r="V15" s="76"/>
      <c r="W15" s="76"/>
      <c r="X15" s="76"/>
      <c r="Y15" s="76"/>
      <c r="Z15" s="76"/>
    </row>
    <row r="16" spans="1:26" ht="92.4" x14ac:dyDescent="0.3">
      <c r="A16" s="182" t="str">
        <f>TEXT($K$6, "@") &amp; TEXT(ROW(A16)-8, "00")</f>
        <v>SearchAndFilter_Search_08</v>
      </c>
      <c r="B16" s="186" t="s">
        <v>70</v>
      </c>
      <c r="C16" s="187" t="s">
        <v>68</v>
      </c>
      <c r="D16" s="187" t="s">
        <v>71</v>
      </c>
      <c r="E16" s="188"/>
      <c r="F16" s="189" t="s">
        <v>28</v>
      </c>
      <c r="G16" s="190">
        <v>45633</v>
      </c>
      <c r="H16" s="106"/>
      <c r="I16" s="69"/>
      <c r="J16" s="76"/>
      <c r="K16" s="76"/>
      <c r="L16" s="76"/>
      <c r="M16" s="76"/>
      <c r="N16" s="76"/>
      <c r="O16" s="76"/>
      <c r="P16" s="76"/>
      <c r="Q16" s="76"/>
      <c r="R16" s="76"/>
      <c r="S16" s="76"/>
      <c r="T16" s="76"/>
      <c r="U16" s="76"/>
      <c r="V16" s="76"/>
      <c r="W16" s="76"/>
      <c r="X16" s="76"/>
      <c r="Y16" s="76"/>
      <c r="Z16" s="76"/>
    </row>
    <row r="17" spans="1:26" ht="92.4" x14ac:dyDescent="0.3">
      <c r="A17" s="182" t="str">
        <f>TEXT($K$6, "@") &amp; TEXT(ROW(A17)-8, "00")</f>
        <v>SearchAndFilter_Search_09</v>
      </c>
      <c r="B17" s="186" t="s">
        <v>296</v>
      </c>
      <c r="C17" s="187" t="s">
        <v>65</v>
      </c>
      <c r="D17" s="187" t="s">
        <v>66</v>
      </c>
      <c r="E17" s="188"/>
      <c r="F17" s="189" t="s">
        <v>28</v>
      </c>
      <c r="G17" s="190">
        <v>45633</v>
      </c>
      <c r="H17" s="106"/>
      <c r="I17" s="70"/>
      <c r="J17" s="57"/>
      <c r="K17" s="57"/>
      <c r="L17" s="7"/>
      <c r="M17" s="7"/>
      <c r="N17" s="7"/>
      <c r="O17" s="7"/>
      <c r="P17" s="7"/>
      <c r="Q17" s="7"/>
      <c r="R17" s="7"/>
      <c r="S17" s="7"/>
      <c r="T17" s="7"/>
      <c r="U17" s="7"/>
      <c r="V17" s="7"/>
      <c r="W17" s="7"/>
      <c r="X17" s="7"/>
      <c r="Y17" s="7"/>
      <c r="Z17" s="7"/>
    </row>
    <row r="18" spans="1:26" ht="92.4" x14ac:dyDescent="0.3">
      <c r="A18" s="182" t="str">
        <f>TEXT($K$6, "@") &amp; TEXT(ROW(A18)-8, "00")</f>
        <v>SearchAndFilter_Search_10</v>
      </c>
      <c r="B18" s="186" t="s">
        <v>297</v>
      </c>
      <c r="C18" s="187" t="s">
        <v>298</v>
      </c>
      <c r="D18" s="187" t="s">
        <v>299</v>
      </c>
      <c r="E18" s="188"/>
      <c r="F18" s="189" t="s">
        <v>28</v>
      </c>
      <c r="G18" s="190"/>
      <c r="H18" s="106"/>
      <c r="I18" s="128"/>
      <c r="J18" s="129"/>
      <c r="K18" s="129"/>
      <c r="L18" s="108"/>
      <c r="M18" s="108"/>
      <c r="N18" s="108"/>
      <c r="O18" s="108"/>
      <c r="P18" s="108"/>
      <c r="Q18" s="108"/>
      <c r="R18" s="108"/>
      <c r="S18" s="108"/>
      <c r="T18" s="108"/>
      <c r="U18" s="108"/>
      <c r="V18" s="108"/>
      <c r="W18" s="108"/>
      <c r="X18" s="108"/>
      <c r="Y18" s="108"/>
      <c r="Z18" s="108"/>
    </row>
    <row r="19" spans="1:26" ht="118.8" x14ac:dyDescent="0.3">
      <c r="A19" s="182" t="str">
        <f>TEXT($K$6, "@") &amp; TEXT(ROW(A19)-8, "00")</f>
        <v>SearchAndFilter_Search_11</v>
      </c>
      <c r="B19" s="186" t="s">
        <v>314</v>
      </c>
      <c r="C19" s="187" t="s">
        <v>295</v>
      </c>
      <c r="D19" s="187" t="s">
        <v>72</v>
      </c>
      <c r="E19" s="188"/>
      <c r="F19" s="189" t="s">
        <v>30</v>
      </c>
      <c r="G19" s="190">
        <v>45633</v>
      </c>
      <c r="H19" s="106"/>
      <c r="I19" s="69"/>
      <c r="J19" s="7"/>
      <c r="K19" s="7"/>
      <c r="L19" s="7"/>
      <c r="M19" s="7"/>
      <c r="N19" s="7"/>
      <c r="O19" s="7"/>
      <c r="P19" s="7"/>
      <c r="Q19" s="7"/>
      <c r="R19" s="7"/>
      <c r="S19" s="7"/>
      <c r="T19" s="7"/>
      <c r="U19" s="7"/>
      <c r="V19" s="7"/>
      <c r="W19" s="7"/>
      <c r="X19" s="7"/>
      <c r="Y19" s="7"/>
      <c r="Z19" s="7"/>
    </row>
    <row r="20" spans="1:26" ht="105.6" x14ac:dyDescent="0.3">
      <c r="A20" s="182" t="str">
        <f>TEXT($K$6, "@") &amp; TEXT(ROW(A20)-8, "00")</f>
        <v>SearchAndFilter_Search_12</v>
      </c>
      <c r="B20" s="186" t="s">
        <v>73</v>
      </c>
      <c r="C20" s="187" t="s">
        <v>74</v>
      </c>
      <c r="D20" s="187" t="s">
        <v>75</v>
      </c>
      <c r="E20" s="188"/>
      <c r="F20" s="189" t="s">
        <v>28</v>
      </c>
      <c r="G20" s="190">
        <v>45633</v>
      </c>
      <c r="H20" s="106"/>
      <c r="I20" s="71"/>
      <c r="J20" s="7"/>
      <c r="K20" s="7"/>
      <c r="L20" s="7"/>
      <c r="M20" s="7"/>
      <c r="N20" s="7"/>
      <c r="O20" s="7"/>
      <c r="P20" s="7"/>
      <c r="Q20" s="7"/>
      <c r="R20" s="7"/>
      <c r="S20" s="7"/>
      <c r="T20" s="7"/>
      <c r="U20" s="7"/>
      <c r="V20" s="7"/>
      <c r="W20" s="7"/>
      <c r="X20" s="7"/>
      <c r="Y20" s="7"/>
      <c r="Z20" s="7"/>
    </row>
    <row r="21" spans="1:26" ht="105.6" x14ac:dyDescent="0.3">
      <c r="A21" s="182" t="str">
        <f>TEXT($K$6, "@") &amp; TEXT(ROW(A21)-8, "00")</f>
        <v>SearchAndFilter_Search_13</v>
      </c>
      <c r="B21" s="186" t="s">
        <v>124</v>
      </c>
      <c r="C21" s="187" t="s">
        <v>122</v>
      </c>
      <c r="D21" s="187" t="s">
        <v>125</v>
      </c>
      <c r="E21" s="188"/>
      <c r="F21" s="189" t="s">
        <v>28</v>
      </c>
      <c r="G21" s="190">
        <v>45633</v>
      </c>
      <c r="H21" s="106"/>
      <c r="I21" s="71"/>
      <c r="J21" s="7"/>
      <c r="K21" s="7"/>
      <c r="L21" s="7"/>
      <c r="M21" s="7"/>
      <c r="N21" s="7"/>
      <c r="O21" s="7"/>
      <c r="P21" s="7"/>
      <c r="Q21" s="7"/>
      <c r="R21" s="7"/>
      <c r="S21" s="7"/>
      <c r="T21" s="7"/>
      <c r="U21" s="7"/>
      <c r="V21" s="7"/>
      <c r="W21" s="7"/>
      <c r="X21" s="7"/>
      <c r="Y21" s="7"/>
      <c r="Z21" s="7"/>
    </row>
    <row r="22" spans="1:26" ht="105.6" x14ac:dyDescent="0.3">
      <c r="A22" s="182" t="str">
        <f>TEXT($K$6, "@") &amp; TEXT(ROW(A22)-8, "00")</f>
        <v>SearchAndFilter_Search_14</v>
      </c>
      <c r="B22" s="186" t="s">
        <v>121</v>
      </c>
      <c r="C22" s="187" t="s">
        <v>122</v>
      </c>
      <c r="D22" s="187" t="s">
        <v>123</v>
      </c>
      <c r="E22" s="188"/>
      <c r="F22" s="189" t="s">
        <v>30</v>
      </c>
      <c r="G22" s="190">
        <v>45633</v>
      </c>
      <c r="H22" s="106"/>
      <c r="I22" s="107"/>
      <c r="J22" s="108"/>
      <c r="K22" s="108"/>
      <c r="L22" s="108"/>
      <c r="M22" s="108"/>
      <c r="N22" s="108"/>
      <c r="O22" s="108"/>
      <c r="P22" s="108"/>
      <c r="Q22" s="108"/>
      <c r="R22" s="108"/>
      <c r="S22" s="108"/>
      <c r="T22" s="108"/>
      <c r="U22" s="108"/>
      <c r="V22" s="108"/>
      <c r="W22" s="108"/>
      <c r="X22" s="108"/>
      <c r="Y22" s="108"/>
      <c r="Z22" s="108"/>
    </row>
    <row r="23" spans="1:26" ht="105.6" x14ac:dyDescent="0.3">
      <c r="A23" s="182" t="str">
        <f>TEXT($K$6, "@") &amp; TEXT(ROW(A23)-8, "00")</f>
        <v>SearchAndFilter_Search_15</v>
      </c>
      <c r="B23" s="186" t="s">
        <v>309</v>
      </c>
      <c r="C23" s="187" t="s">
        <v>122</v>
      </c>
      <c r="D23" s="187" t="s">
        <v>310</v>
      </c>
      <c r="E23" s="191"/>
      <c r="F23" s="189" t="s">
        <v>30</v>
      </c>
      <c r="G23" s="190">
        <v>45633</v>
      </c>
      <c r="H23" s="105"/>
      <c r="I23" s="107"/>
      <c r="J23" s="108"/>
      <c r="K23" s="108"/>
      <c r="L23" s="108"/>
      <c r="M23" s="108"/>
      <c r="N23" s="108"/>
      <c r="O23" s="108"/>
      <c r="P23" s="108"/>
      <c r="Q23" s="108"/>
      <c r="R23" s="108"/>
      <c r="S23" s="108"/>
      <c r="T23" s="108"/>
      <c r="U23" s="108"/>
      <c r="V23" s="108"/>
      <c r="W23" s="108"/>
      <c r="X23" s="108"/>
      <c r="Y23" s="108"/>
      <c r="Z23" s="108"/>
    </row>
    <row r="24" spans="1:26" ht="105.6" x14ac:dyDescent="0.3">
      <c r="A24" s="182" t="str">
        <f>TEXT($K$6, "@") &amp; TEXT(ROW(A24)-8, "00")</f>
        <v>SearchAndFilter_Search_16</v>
      </c>
      <c r="B24" s="186" t="s">
        <v>152</v>
      </c>
      <c r="C24" s="187" t="s">
        <v>122</v>
      </c>
      <c r="D24" s="187" t="s">
        <v>153</v>
      </c>
      <c r="E24" s="188"/>
      <c r="F24" s="189" t="s">
        <v>28</v>
      </c>
      <c r="G24" s="190">
        <v>45633</v>
      </c>
      <c r="H24" s="106"/>
      <c r="I24" s="71"/>
      <c r="J24" s="7"/>
      <c r="K24" s="7"/>
      <c r="L24" s="7"/>
      <c r="M24" s="7"/>
      <c r="N24" s="7"/>
      <c r="O24" s="7"/>
      <c r="P24" s="7"/>
      <c r="Q24" s="7"/>
      <c r="R24" s="7"/>
      <c r="S24" s="7"/>
      <c r="T24" s="7"/>
      <c r="U24" s="7"/>
      <c r="V24" s="7"/>
      <c r="W24" s="7"/>
      <c r="X24" s="7"/>
      <c r="Y24" s="7"/>
      <c r="Z24" s="7"/>
    </row>
    <row r="25" spans="1:26" ht="66" x14ac:dyDescent="0.3">
      <c r="A25" s="182" t="str">
        <f>TEXT($K$6, "@") &amp; TEXT(ROW(A25)-8, "00")</f>
        <v>SearchAndFilter_Search_17</v>
      </c>
      <c r="B25" s="186" t="s">
        <v>112</v>
      </c>
      <c r="C25" s="187" t="s">
        <v>113</v>
      </c>
      <c r="D25" s="187" t="s">
        <v>114</v>
      </c>
      <c r="E25" s="188"/>
      <c r="F25" s="189" t="s">
        <v>28</v>
      </c>
      <c r="G25" s="190">
        <v>45633</v>
      </c>
      <c r="H25" s="106"/>
      <c r="I25" s="71"/>
      <c r="J25" s="7"/>
      <c r="K25" s="7"/>
      <c r="L25" s="7"/>
      <c r="M25" s="7"/>
      <c r="N25" s="7"/>
      <c r="O25" s="7"/>
      <c r="P25" s="7"/>
      <c r="Q25" s="7"/>
      <c r="R25" s="7"/>
      <c r="S25" s="7"/>
      <c r="T25" s="7"/>
      <c r="U25" s="7"/>
      <c r="V25" s="7"/>
      <c r="W25" s="7"/>
      <c r="X25" s="7"/>
      <c r="Y25" s="7"/>
      <c r="Z25" s="7"/>
    </row>
    <row r="26" spans="1:26" ht="105.6" x14ac:dyDescent="0.3">
      <c r="A26" s="182" t="str">
        <f>TEXT($K$6, "@") &amp; TEXT(ROW(A26)-8, "00")</f>
        <v>SearchAndFilter_Search_18</v>
      </c>
      <c r="B26" s="186" t="s">
        <v>172</v>
      </c>
      <c r="C26" s="187" t="s">
        <v>122</v>
      </c>
      <c r="D26" s="187" t="s">
        <v>173</v>
      </c>
      <c r="E26" s="188"/>
      <c r="F26" s="189" t="s">
        <v>28</v>
      </c>
      <c r="G26" s="190">
        <v>45633</v>
      </c>
      <c r="H26" s="106"/>
      <c r="I26" s="71"/>
      <c r="J26" s="7"/>
      <c r="K26" s="7"/>
      <c r="L26" s="7"/>
      <c r="M26" s="7"/>
      <c r="N26" s="7"/>
      <c r="O26" s="7"/>
      <c r="P26" s="7"/>
      <c r="Q26" s="7"/>
      <c r="R26" s="7"/>
      <c r="S26" s="7"/>
      <c r="T26" s="7"/>
      <c r="U26" s="7"/>
      <c r="V26" s="7"/>
      <c r="W26" s="7"/>
      <c r="X26" s="7"/>
      <c r="Y26" s="7"/>
      <c r="Z26" s="7"/>
    </row>
    <row r="27" spans="1:26" ht="118.8" x14ac:dyDescent="0.3">
      <c r="A27" s="182" t="str">
        <f>TEXT($K$6, "@") &amp; TEXT(ROW(A27)-8, "00")</f>
        <v>SearchAndFilter_Search_19</v>
      </c>
      <c r="B27" s="192" t="s">
        <v>106</v>
      </c>
      <c r="C27" s="193" t="s">
        <v>107</v>
      </c>
      <c r="D27" s="193" t="s">
        <v>108</v>
      </c>
      <c r="E27" s="188"/>
      <c r="F27" s="189" t="s">
        <v>28</v>
      </c>
      <c r="G27" s="190">
        <v>45633</v>
      </c>
      <c r="H27" s="106"/>
      <c r="I27" s="107"/>
      <c r="J27" s="108"/>
      <c r="K27" s="108"/>
      <c r="L27" s="108"/>
      <c r="M27" s="108"/>
      <c r="N27" s="108"/>
      <c r="O27" s="108"/>
      <c r="P27" s="108"/>
      <c r="Q27" s="108"/>
      <c r="R27" s="108"/>
      <c r="S27" s="108"/>
      <c r="T27" s="108"/>
      <c r="U27" s="108"/>
      <c r="V27" s="108"/>
      <c r="W27" s="108"/>
      <c r="X27" s="108"/>
      <c r="Y27" s="108"/>
      <c r="Z27" s="108"/>
    </row>
    <row r="28" spans="1:26" ht="105.6" x14ac:dyDescent="0.3">
      <c r="A28" s="183" t="str">
        <f>TEXT($K$6, "@") &amp; TEXT(ROW(A28)-8, "00")</f>
        <v>SearchAndFilter_Search_20</v>
      </c>
      <c r="B28" s="192" t="s">
        <v>274</v>
      </c>
      <c r="C28" s="193" t="s">
        <v>277</v>
      </c>
      <c r="D28" s="193" t="s">
        <v>278</v>
      </c>
      <c r="E28" s="188"/>
      <c r="F28" s="189" t="s">
        <v>28</v>
      </c>
      <c r="G28" s="190">
        <v>45633</v>
      </c>
      <c r="H28" s="106"/>
      <c r="I28" s="107"/>
      <c r="J28" s="108"/>
      <c r="K28" s="108"/>
      <c r="L28" s="108"/>
      <c r="M28" s="108"/>
      <c r="N28" s="108"/>
      <c r="O28" s="108"/>
      <c r="P28" s="108"/>
      <c r="Q28" s="108"/>
      <c r="R28" s="108"/>
      <c r="S28" s="108"/>
      <c r="T28" s="108"/>
      <c r="U28" s="108"/>
      <c r="V28" s="108"/>
      <c r="W28" s="108"/>
      <c r="X28" s="108"/>
      <c r="Y28" s="108"/>
      <c r="Z28" s="108"/>
    </row>
    <row r="29" spans="1:26" s="130" customFormat="1" ht="105.6" x14ac:dyDescent="0.3">
      <c r="A29" s="183" t="str">
        <f>TEXT($K$6, "@") &amp; TEXT(ROW(A29)-8, "00")</f>
        <v>SearchAndFilter_Search_21</v>
      </c>
      <c r="B29" s="192" t="s">
        <v>275</v>
      </c>
      <c r="C29" s="193" t="s">
        <v>279</v>
      </c>
      <c r="D29" s="193" t="s">
        <v>280</v>
      </c>
      <c r="E29" s="188"/>
      <c r="F29" s="189" t="s">
        <v>28</v>
      </c>
      <c r="G29" s="190">
        <v>45633</v>
      </c>
      <c r="H29" s="106"/>
      <c r="I29" s="107"/>
      <c r="J29" s="107"/>
      <c r="K29" s="107"/>
      <c r="L29" s="107"/>
      <c r="M29" s="107"/>
      <c r="N29" s="107"/>
      <c r="O29" s="107"/>
      <c r="P29" s="107"/>
      <c r="Q29" s="107"/>
      <c r="R29" s="107"/>
      <c r="S29" s="107"/>
      <c r="T29" s="107"/>
      <c r="U29" s="107"/>
      <c r="V29" s="107"/>
      <c r="W29" s="107"/>
      <c r="X29" s="107"/>
      <c r="Y29" s="107"/>
      <c r="Z29" s="107"/>
    </row>
    <row r="30" spans="1:26" ht="132" x14ac:dyDescent="0.3">
      <c r="A30" s="183" t="str">
        <f>TEXT($K$6, "@") &amp; TEXT(ROW(A30)-8, "00")</f>
        <v>SearchAndFilter_Search_22</v>
      </c>
      <c r="B30" s="192" t="s">
        <v>276</v>
      </c>
      <c r="C30" s="193" t="s">
        <v>281</v>
      </c>
      <c r="D30" s="193" t="s">
        <v>282</v>
      </c>
      <c r="E30" s="188"/>
      <c r="F30" s="189" t="s">
        <v>28</v>
      </c>
      <c r="G30" s="190">
        <v>45633</v>
      </c>
      <c r="H30" s="106"/>
      <c r="I30" s="107"/>
      <c r="J30" s="108"/>
      <c r="K30" s="108"/>
      <c r="L30" s="108"/>
      <c r="M30" s="108"/>
      <c r="N30" s="108"/>
      <c r="O30" s="108"/>
      <c r="P30" s="108"/>
      <c r="Q30" s="108"/>
      <c r="R30" s="108"/>
      <c r="S30" s="108"/>
      <c r="T30" s="108"/>
      <c r="U30" s="108"/>
      <c r="V30" s="108"/>
      <c r="W30" s="108"/>
      <c r="X30" s="108"/>
      <c r="Y30" s="108"/>
      <c r="Z30" s="108"/>
    </row>
    <row r="31" spans="1:26" ht="92.4" x14ac:dyDescent="0.3">
      <c r="A31" s="184" t="str">
        <f>TEXT($K$6, "@") &amp; TEXT(ROW(A31)-8, "00")</f>
        <v>SearchAndFilter_Search_23</v>
      </c>
      <c r="B31" s="186" t="s">
        <v>82</v>
      </c>
      <c r="C31" s="187" t="s">
        <v>83</v>
      </c>
      <c r="D31" s="187" t="s">
        <v>84</v>
      </c>
      <c r="E31" s="188"/>
      <c r="F31" s="189" t="s">
        <v>28</v>
      </c>
      <c r="G31" s="190">
        <v>45633</v>
      </c>
      <c r="H31" s="106"/>
      <c r="I31" s="107"/>
      <c r="J31" s="108"/>
      <c r="K31" s="108"/>
      <c r="L31" s="108"/>
      <c r="M31" s="108"/>
      <c r="N31" s="108"/>
      <c r="O31" s="108"/>
      <c r="P31" s="108"/>
      <c r="Q31" s="108"/>
      <c r="R31" s="108"/>
      <c r="S31" s="108"/>
      <c r="T31" s="108"/>
      <c r="U31" s="108"/>
      <c r="V31" s="108"/>
      <c r="W31" s="108"/>
      <c r="X31" s="108"/>
      <c r="Y31" s="108"/>
      <c r="Z31" s="108"/>
    </row>
    <row r="32" spans="1:26" ht="66" x14ac:dyDescent="0.3">
      <c r="A32" s="184" t="str">
        <f t="shared" ref="A32:A44" si="0">TEXT($K$6, "@") &amp; TEXT(ROW(A32)-8, "00")</f>
        <v>SearchAndFilter_Search_24</v>
      </c>
      <c r="B32" s="186" t="s">
        <v>85</v>
      </c>
      <c r="C32" s="187" t="s">
        <v>88</v>
      </c>
      <c r="D32" s="187" t="s">
        <v>87</v>
      </c>
      <c r="E32" s="188"/>
      <c r="F32" s="189" t="s">
        <v>28</v>
      </c>
      <c r="G32" s="190">
        <v>45633</v>
      </c>
      <c r="H32" s="106"/>
      <c r="I32" s="107"/>
      <c r="J32" s="108"/>
      <c r="K32" s="108"/>
      <c r="L32" s="108"/>
      <c r="M32" s="108"/>
      <c r="N32" s="108"/>
      <c r="O32" s="108"/>
      <c r="P32" s="108"/>
      <c r="Q32" s="108"/>
      <c r="R32" s="108"/>
      <c r="S32" s="108"/>
      <c r="T32" s="108"/>
      <c r="U32" s="108"/>
      <c r="V32" s="108"/>
      <c r="W32" s="108"/>
      <c r="X32" s="108"/>
      <c r="Y32" s="108"/>
      <c r="Z32" s="108"/>
    </row>
    <row r="33" spans="1:26" ht="105.6" x14ac:dyDescent="0.3">
      <c r="A33" s="184" t="str">
        <f t="shared" si="0"/>
        <v>SearchAndFilter_Search_25</v>
      </c>
      <c r="B33" s="186" t="s">
        <v>149</v>
      </c>
      <c r="C33" s="187" t="s">
        <v>150</v>
      </c>
      <c r="D33" s="187" t="s">
        <v>151</v>
      </c>
      <c r="E33" s="188"/>
      <c r="F33" s="189" t="s">
        <v>28</v>
      </c>
      <c r="G33" s="190">
        <v>45633</v>
      </c>
      <c r="H33" s="106"/>
      <c r="I33" s="107"/>
      <c r="J33" s="108"/>
      <c r="K33" s="108"/>
      <c r="L33" s="108"/>
      <c r="M33" s="108"/>
      <c r="N33" s="108"/>
      <c r="O33" s="108"/>
      <c r="P33" s="108"/>
      <c r="Q33" s="108"/>
      <c r="R33" s="108"/>
      <c r="S33" s="108"/>
      <c r="T33" s="108"/>
      <c r="U33" s="108"/>
      <c r="V33" s="108"/>
      <c r="W33" s="108"/>
      <c r="X33" s="108"/>
      <c r="Y33" s="108"/>
      <c r="Z33" s="108"/>
    </row>
    <row r="34" spans="1:26" ht="92.4" x14ac:dyDescent="0.3">
      <c r="A34" s="184" t="str">
        <f>TEXT($K$6, "@") &amp; TEXT(ROW(A34)-8, "00")</f>
        <v>SearchAndFilter_Search_26</v>
      </c>
      <c r="B34" s="186" t="s">
        <v>89</v>
      </c>
      <c r="C34" s="187" t="s">
        <v>90</v>
      </c>
      <c r="D34" s="187" t="s">
        <v>91</v>
      </c>
      <c r="E34" s="188"/>
      <c r="F34" s="189" t="s">
        <v>30</v>
      </c>
      <c r="G34" s="190">
        <v>45633</v>
      </c>
      <c r="H34" s="106"/>
      <c r="I34" s="107"/>
      <c r="J34" s="108"/>
      <c r="K34" s="108"/>
      <c r="L34" s="108"/>
      <c r="M34" s="108"/>
      <c r="N34" s="108"/>
      <c r="O34" s="108"/>
      <c r="P34" s="108"/>
      <c r="Q34" s="108"/>
      <c r="R34" s="108"/>
      <c r="S34" s="108"/>
      <c r="T34" s="108"/>
      <c r="U34" s="108"/>
      <c r="V34" s="108"/>
      <c r="W34" s="108"/>
      <c r="X34" s="108"/>
      <c r="Y34" s="108"/>
      <c r="Z34" s="108"/>
    </row>
    <row r="35" spans="1:26" ht="92.4" x14ac:dyDescent="0.3">
      <c r="A35" s="184" t="str">
        <f t="shared" si="0"/>
        <v>SearchAndFilter_Search_27</v>
      </c>
      <c r="B35" s="186" t="s">
        <v>92</v>
      </c>
      <c r="C35" s="187" t="s">
        <v>94</v>
      </c>
      <c r="D35" s="187" t="s">
        <v>95</v>
      </c>
      <c r="E35" s="188"/>
      <c r="F35" s="189" t="s">
        <v>28</v>
      </c>
      <c r="G35" s="190">
        <v>45633</v>
      </c>
      <c r="H35" s="106"/>
      <c r="I35" s="107"/>
      <c r="J35" s="108"/>
      <c r="K35" s="108"/>
      <c r="L35" s="108"/>
      <c r="M35" s="108"/>
      <c r="N35" s="108"/>
      <c r="O35" s="108"/>
      <c r="P35" s="108"/>
      <c r="Q35" s="108"/>
      <c r="R35" s="108"/>
      <c r="S35" s="108"/>
      <c r="T35" s="108"/>
      <c r="U35" s="108"/>
      <c r="V35" s="108"/>
      <c r="W35" s="108"/>
      <c r="X35" s="108"/>
      <c r="Y35" s="108"/>
      <c r="Z35" s="108"/>
    </row>
    <row r="36" spans="1:26" ht="92.4" x14ac:dyDescent="0.3">
      <c r="A36" s="184" t="str">
        <f t="shared" si="0"/>
        <v>SearchAndFilter_Search_28</v>
      </c>
      <c r="B36" s="186" t="s">
        <v>93</v>
      </c>
      <c r="C36" s="187" t="s">
        <v>94</v>
      </c>
      <c r="D36" s="187" t="s">
        <v>96</v>
      </c>
      <c r="E36" s="188"/>
      <c r="F36" s="189" t="s">
        <v>28</v>
      </c>
      <c r="G36" s="190">
        <v>45633</v>
      </c>
      <c r="H36" s="106"/>
      <c r="I36" s="107"/>
      <c r="J36" s="108"/>
      <c r="K36" s="108"/>
      <c r="L36" s="108"/>
      <c r="M36" s="108"/>
      <c r="N36" s="108"/>
      <c r="O36" s="108"/>
      <c r="P36" s="108"/>
      <c r="Q36" s="108"/>
      <c r="R36" s="108"/>
      <c r="S36" s="108"/>
      <c r="T36" s="108"/>
      <c r="U36" s="108"/>
      <c r="V36" s="108"/>
      <c r="W36" s="108"/>
      <c r="X36" s="108"/>
      <c r="Y36" s="108"/>
      <c r="Z36" s="108"/>
    </row>
    <row r="37" spans="1:26" ht="92.4" x14ac:dyDescent="0.3">
      <c r="A37" s="184" t="str">
        <f t="shared" si="0"/>
        <v>SearchAndFilter_Search_29</v>
      </c>
      <c r="B37" s="186" t="s">
        <v>97</v>
      </c>
      <c r="C37" s="187" t="s">
        <v>98</v>
      </c>
      <c r="D37" s="187" t="s">
        <v>99</v>
      </c>
      <c r="E37" s="188"/>
      <c r="F37" s="189" t="s">
        <v>28</v>
      </c>
      <c r="G37" s="190">
        <v>45633</v>
      </c>
      <c r="H37" s="106"/>
      <c r="I37" s="71"/>
      <c r="J37" s="7"/>
      <c r="K37" s="7"/>
      <c r="L37" s="7"/>
      <c r="M37" s="7"/>
      <c r="N37" s="7"/>
      <c r="O37" s="7"/>
      <c r="P37" s="7"/>
      <c r="Q37" s="7"/>
      <c r="R37" s="7"/>
      <c r="S37" s="7"/>
      <c r="T37" s="7"/>
      <c r="U37" s="7"/>
      <c r="V37" s="7"/>
      <c r="W37" s="7"/>
      <c r="X37" s="7"/>
      <c r="Y37" s="7"/>
      <c r="Z37" s="7"/>
    </row>
    <row r="38" spans="1:26" ht="66" x14ac:dyDescent="0.3">
      <c r="A38" s="184" t="str">
        <f t="shared" si="0"/>
        <v>SearchAndFilter_Search_30</v>
      </c>
      <c r="B38" s="186" t="s">
        <v>138</v>
      </c>
      <c r="C38" s="187" t="s">
        <v>139</v>
      </c>
      <c r="D38" s="187" t="s">
        <v>140</v>
      </c>
      <c r="E38" s="188"/>
      <c r="F38" s="189" t="s">
        <v>30</v>
      </c>
      <c r="G38" s="190">
        <v>45633</v>
      </c>
      <c r="H38" s="106"/>
      <c r="I38" s="71"/>
      <c r="J38" s="7"/>
      <c r="K38" s="7"/>
      <c r="L38" s="7"/>
      <c r="M38" s="7"/>
      <c r="N38" s="7"/>
      <c r="O38" s="7"/>
      <c r="P38" s="7"/>
      <c r="Q38" s="7"/>
      <c r="R38" s="7"/>
      <c r="S38" s="7"/>
      <c r="T38" s="7"/>
      <c r="U38" s="7"/>
      <c r="V38" s="7"/>
      <c r="W38" s="7"/>
      <c r="X38" s="7"/>
      <c r="Y38" s="7"/>
      <c r="Z38" s="7"/>
    </row>
    <row r="39" spans="1:26" ht="105.6" x14ac:dyDescent="0.3">
      <c r="A39" s="184" t="str">
        <f t="shared" si="0"/>
        <v>SearchAndFilter_Search_31</v>
      </c>
      <c r="B39" s="186" t="s">
        <v>100</v>
      </c>
      <c r="C39" s="187" t="s">
        <v>101</v>
      </c>
      <c r="D39" s="187" t="s">
        <v>102</v>
      </c>
      <c r="E39" s="188"/>
      <c r="F39" s="189" t="s">
        <v>28</v>
      </c>
      <c r="G39" s="190">
        <v>45633</v>
      </c>
      <c r="H39" s="106"/>
      <c r="I39" s="107"/>
      <c r="J39" s="108"/>
      <c r="K39" s="108"/>
      <c r="L39" s="108"/>
      <c r="M39" s="108"/>
      <c r="N39" s="108"/>
      <c r="O39" s="108"/>
      <c r="P39" s="108"/>
      <c r="Q39" s="108"/>
      <c r="R39" s="108"/>
      <c r="S39" s="108"/>
      <c r="T39" s="108"/>
      <c r="U39" s="108"/>
      <c r="V39" s="108"/>
      <c r="W39" s="108"/>
      <c r="X39" s="108"/>
      <c r="Y39" s="108"/>
      <c r="Z39" s="108"/>
    </row>
    <row r="40" spans="1:26" ht="79.2" x14ac:dyDescent="0.3">
      <c r="A40" s="184" t="str">
        <f t="shared" si="0"/>
        <v>SearchAndFilter_Search_32</v>
      </c>
      <c r="B40" s="186" t="s">
        <v>300</v>
      </c>
      <c r="C40" s="187" t="s">
        <v>301</v>
      </c>
      <c r="D40" s="187" t="s">
        <v>302</v>
      </c>
      <c r="E40" s="188"/>
      <c r="F40" s="189" t="s">
        <v>30</v>
      </c>
      <c r="G40" s="190">
        <v>45633</v>
      </c>
      <c r="H40" s="106"/>
      <c r="I40" s="71"/>
      <c r="J40" s="7"/>
      <c r="K40" s="7"/>
      <c r="L40" s="7"/>
      <c r="M40" s="7"/>
      <c r="N40" s="7"/>
      <c r="O40" s="7"/>
      <c r="P40" s="7"/>
      <c r="Q40" s="7"/>
      <c r="R40" s="7"/>
      <c r="S40" s="7"/>
      <c r="T40" s="7"/>
      <c r="U40" s="7"/>
      <c r="V40" s="7"/>
      <c r="W40" s="7"/>
      <c r="X40" s="7"/>
      <c r="Y40" s="7"/>
      <c r="Z40" s="7"/>
    </row>
    <row r="41" spans="1:26" ht="79.2" x14ac:dyDescent="0.3">
      <c r="A41" s="184" t="str">
        <f t="shared" si="0"/>
        <v>SearchAndFilter_Search_33</v>
      </c>
      <c r="B41" s="186" t="s">
        <v>255</v>
      </c>
      <c r="C41" s="187" t="s">
        <v>256</v>
      </c>
      <c r="D41" s="187" t="s">
        <v>257</v>
      </c>
      <c r="E41" s="188"/>
      <c r="F41" s="189" t="s">
        <v>28</v>
      </c>
      <c r="G41" s="190">
        <v>45633</v>
      </c>
      <c r="H41" s="106"/>
      <c r="I41" s="71"/>
      <c r="J41" s="7"/>
      <c r="K41" s="7"/>
      <c r="L41" s="7"/>
      <c r="M41" s="7"/>
      <c r="N41" s="7"/>
      <c r="O41" s="7"/>
      <c r="P41" s="7"/>
      <c r="Q41" s="7"/>
      <c r="R41" s="7"/>
      <c r="S41" s="7"/>
      <c r="T41" s="7"/>
      <c r="U41" s="7"/>
      <c r="V41" s="7"/>
      <c r="W41" s="7"/>
      <c r="X41" s="7"/>
      <c r="Y41" s="7"/>
      <c r="Z41" s="7"/>
    </row>
    <row r="42" spans="1:26" ht="105.6" x14ac:dyDescent="0.3">
      <c r="A42" s="184" t="str">
        <f t="shared" si="0"/>
        <v>SearchAndFilter_Search_34</v>
      </c>
      <c r="B42" s="186" t="s">
        <v>103</v>
      </c>
      <c r="C42" s="187" t="s">
        <v>104</v>
      </c>
      <c r="D42" s="187" t="s">
        <v>105</v>
      </c>
      <c r="E42" s="188"/>
      <c r="F42" s="189" t="s">
        <v>28</v>
      </c>
      <c r="G42" s="190">
        <v>45633</v>
      </c>
      <c r="H42" s="106"/>
      <c r="I42" s="71"/>
      <c r="J42" s="7"/>
      <c r="K42" s="7"/>
      <c r="L42" s="7"/>
      <c r="M42" s="7"/>
      <c r="N42" s="7"/>
      <c r="O42" s="7"/>
      <c r="P42" s="7"/>
      <c r="Q42" s="7"/>
      <c r="R42" s="7"/>
      <c r="S42" s="7"/>
      <c r="T42" s="7"/>
      <c r="U42" s="7"/>
      <c r="V42" s="7"/>
      <c r="W42" s="7"/>
      <c r="X42" s="7"/>
      <c r="Y42" s="7"/>
      <c r="Z42" s="7"/>
    </row>
    <row r="43" spans="1:26" ht="105.6" x14ac:dyDescent="0.3">
      <c r="A43" s="184" t="str">
        <f t="shared" si="0"/>
        <v>SearchAndFilter_Search_35</v>
      </c>
      <c r="B43" s="186" t="s">
        <v>115</v>
      </c>
      <c r="C43" s="187" t="s">
        <v>116</v>
      </c>
      <c r="D43" s="187" t="s">
        <v>258</v>
      </c>
      <c r="E43" s="188"/>
      <c r="F43" s="189" t="s">
        <v>30</v>
      </c>
      <c r="G43" s="190">
        <v>45633</v>
      </c>
      <c r="H43" s="106"/>
      <c r="I43" s="71"/>
      <c r="J43" s="7"/>
      <c r="K43" s="7"/>
      <c r="L43" s="7"/>
      <c r="M43" s="7"/>
      <c r="N43" s="7"/>
      <c r="O43" s="7"/>
      <c r="P43" s="7"/>
      <c r="Q43" s="7"/>
      <c r="R43" s="7"/>
      <c r="S43" s="7"/>
      <c r="T43" s="7"/>
      <c r="U43" s="7"/>
      <c r="V43" s="7"/>
      <c r="W43" s="7"/>
      <c r="X43" s="7"/>
      <c r="Y43" s="7"/>
      <c r="Z43" s="7"/>
    </row>
    <row r="44" spans="1:26" ht="79.2" x14ac:dyDescent="0.3">
      <c r="A44" s="184" t="str">
        <f t="shared" si="0"/>
        <v>SearchAndFilter_Search_36</v>
      </c>
      <c r="B44" s="186" t="s">
        <v>117</v>
      </c>
      <c r="C44" s="187" t="s">
        <v>118</v>
      </c>
      <c r="D44" s="187" t="s">
        <v>119</v>
      </c>
      <c r="E44" s="188"/>
      <c r="F44" s="189" t="s">
        <v>28</v>
      </c>
      <c r="G44" s="190">
        <v>45633</v>
      </c>
      <c r="H44" s="106"/>
      <c r="I44" s="107"/>
      <c r="J44" s="108"/>
      <c r="K44" s="108"/>
      <c r="L44" s="108"/>
      <c r="M44" s="108"/>
      <c r="N44" s="108"/>
      <c r="O44" s="108"/>
      <c r="P44" s="108"/>
      <c r="Q44" s="108"/>
      <c r="R44" s="108"/>
      <c r="S44" s="108"/>
      <c r="T44" s="108"/>
      <c r="U44" s="108"/>
      <c r="V44" s="108"/>
      <c r="W44" s="108"/>
      <c r="X44" s="108"/>
      <c r="Y44" s="108"/>
      <c r="Z44" s="108"/>
    </row>
    <row r="45" spans="1:26" ht="118.8" x14ac:dyDescent="0.3">
      <c r="A45" s="184" t="str">
        <f>TEXT($K$6, "@") &amp; TEXT(ROW(A45)-8, "00")</f>
        <v>SearchAndFilter_Search_37</v>
      </c>
      <c r="B45" s="186" t="s">
        <v>263</v>
      </c>
      <c r="C45" s="187" t="s">
        <v>259</v>
      </c>
      <c r="D45" s="187" t="s">
        <v>120</v>
      </c>
      <c r="E45" s="188"/>
      <c r="F45" s="189" t="s">
        <v>28</v>
      </c>
      <c r="G45" s="190">
        <v>45633</v>
      </c>
      <c r="H45" s="106"/>
      <c r="I45" s="71"/>
      <c r="J45" s="7"/>
      <c r="K45" s="7"/>
      <c r="L45" s="7"/>
      <c r="M45" s="7"/>
      <c r="N45" s="7"/>
      <c r="O45" s="7"/>
      <c r="P45" s="7"/>
      <c r="Q45" s="7"/>
      <c r="R45" s="7"/>
      <c r="S45" s="7"/>
      <c r="T45" s="7"/>
      <c r="U45" s="7"/>
      <c r="V45" s="7"/>
      <c r="W45" s="7"/>
      <c r="X45" s="7"/>
      <c r="Y45" s="7"/>
      <c r="Z45" s="7"/>
    </row>
    <row r="46" spans="1:26" ht="92.4" x14ac:dyDescent="0.3">
      <c r="A46" s="184" t="str">
        <f>TEXT($K$6, "@") &amp; TEXT(ROW(A46)-8, "00")</f>
        <v>SearchAndFilter_Search_38</v>
      </c>
      <c r="B46" s="186" t="s">
        <v>260</v>
      </c>
      <c r="C46" s="187" t="s">
        <v>261</v>
      </c>
      <c r="D46" s="187" t="s">
        <v>262</v>
      </c>
      <c r="E46" s="188"/>
      <c r="F46" s="189" t="s">
        <v>28</v>
      </c>
      <c r="G46" s="190">
        <v>45633</v>
      </c>
      <c r="H46" s="106"/>
      <c r="I46" s="107"/>
      <c r="J46" s="108"/>
      <c r="K46" s="108"/>
      <c r="L46" s="108"/>
      <c r="M46" s="108"/>
      <c r="N46" s="108"/>
      <c r="O46" s="108"/>
      <c r="P46" s="108"/>
      <c r="Q46" s="108"/>
      <c r="R46" s="108"/>
      <c r="S46" s="108"/>
      <c r="T46" s="108"/>
      <c r="U46" s="108"/>
      <c r="V46" s="108"/>
      <c r="W46" s="108"/>
      <c r="X46" s="108"/>
      <c r="Y46" s="108"/>
      <c r="Z46" s="108"/>
    </row>
    <row r="47" spans="1:26" ht="132" x14ac:dyDescent="0.3">
      <c r="A47" s="184" t="str">
        <f>TEXT($K$6, "@") &amp; TEXT(ROW(A47)-8, "00")</f>
        <v>SearchAndFilter_Search_39</v>
      </c>
      <c r="B47" s="186" t="s">
        <v>264</v>
      </c>
      <c r="C47" s="187" t="s">
        <v>265</v>
      </c>
      <c r="D47" s="187" t="s">
        <v>266</v>
      </c>
      <c r="E47" s="188"/>
      <c r="F47" s="189" t="s">
        <v>28</v>
      </c>
      <c r="G47" s="190">
        <v>45633</v>
      </c>
      <c r="H47" s="106"/>
      <c r="I47" s="107"/>
      <c r="J47" s="108"/>
      <c r="K47" s="108"/>
      <c r="L47" s="108"/>
      <c r="M47" s="108"/>
      <c r="N47" s="108"/>
      <c r="O47" s="108"/>
      <c r="P47" s="108"/>
      <c r="Q47" s="108"/>
      <c r="R47" s="108"/>
      <c r="S47" s="108"/>
      <c r="T47" s="108"/>
      <c r="U47" s="108"/>
      <c r="V47" s="108"/>
      <c r="W47" s="108"/>
      <c r="X47" s="108"/>
      <c r="Y47" s="108"/>
      <c r="Z47" s="108"/>
    </row>
    <row r="48" spans="1:26" ht="92.4" x14ac:dyDescent="0.3">
      <c r="A48" s="182" t="str">
        <f>TEXT($K$7, "@") &amp; TEXT(ROW(A48)-8, "00")</f>
        <v>SearchAndFilter_Filter_40</v>
      </c>
      <c r="B48" s="186" t="s">
        <v>269</v>
      </c>
      <c r="C48" s="187" t="s">
        <v>65</v>
      </c>
      <c r="D48" s="187" t="s">
        <v>76</v>
      </c>
      <c r="E48" s="188"/>
      <c r="F48" s="189" t="s">
        <v>28</v>
      </c>
      <c r="G48" s="190">
        <v>45633</v>
      </c>
      <c r="H48" s="106"/>
      <c r="I48" s="71"/>
      <c r="J48" s="7"/>
      <c r="K48" s="7"/>
      <c r="L48" s="7"/>
      <c r="M48" s="7"/>
      <c r="N48" s="7"/>
      <c r="O48" s="7"/>
      <c r="P48" s="7"/>
      <c r="Q48" s="7"/>
      <c r="R48" s="7"/>
      <c r="S48" s="7"/>
      <c r="T48" s="7"/>
      <c r="U48" s="7"/>
      <c r="V48" s="7"/>
      <c r="W48" s="7"/>
      <c r="X48" s="7"/>
      <c r="Y48" s="7"/>
      <c r="Z48" s="7"/>
    </row>
    <row r="49" spans="1:26" ht="92.4" x14ac:dyDescent="0.3">
      <c r="A49" s="182" t="str">
        <f>TEXT($K$7, "@") &amp; TEXT(ROW(A49)-8, "00")</f>
        <v>SearchAndFilter_Filter_41</v>
      </c>
      <c r="B49" s="186" t="s">
        <v>270</v>
      </c>
      <c r="C49" s="187" t="s">
        <v>267</v>
      </c>
      <c r="D49" s="187" t="s">
        <v>268</v>
      </c>
      <c r="E49" s="188"/>
      <c r="F49" s="189" t="s">
        <v>28</v>
      </c>
      <c r="G49" s="190">
        <v>45633</v>
      </c>
      <c r="H49" s="106"/>
      <c r="I49" s="71"/>
      <c r="J49" s="7"/>
      <c r="K49" s="7"/>
      <c r="L49" s="7"/>
      <c r="M49" s="7"/>
      <c r="N49" s="7"/>
      <c r="O49" s="7"/>
      <c r="P49" s="7"/>
      <c r="Q49" s="7"/>
      <c r="R49" s="7"/>
      <c r="S49" s="7"/>
      <c r="T49" s="7"/>
      <c r="U49" s="7"/>
      <c r="V49" s="7"/>
      <c r="W49" s="7"/>
      <c r="X49" s="7"/>
      <c r="Y49" s="7"/>
      <c r="Z49" s="7"/>
    </row>
    <row r="50" spans="1:26" ht="118.8" x14ac:dyDescent="0.3">
      <c r="A50" s="182" t="str">
        <f>TEXT($K$7, "@") &amp; TEXT(ROW(A50)-8, "00")</f>
        <v>SearchAndFilter_Filter_42</v>
      </c>
      <c r="B50" s="186" t="s">
        <v>271</v>
      </c>
      <c r="C50" s="187" t="s">
        <v>272</v>
      </c>
      <c r="D50" s="187" t="s">
        <v>273</v>
      </c>
      <c r="E50" s="188"/>
      <c r="F50" s="189" t="s">
        <v>28</v>
      </c>
      <c r="G50" s="190">
        <v>45633</v>
      </c>
      <c r="H50" s="106"/>
      <c r="I50" s="71"/>
      <c r="J50" s="7"/>
      <c r="K50" s="7"/>
      <c r="L50" s="7"/>
      <c r="M50" s="7"/>
      <c r="N50" s="7"/>
      <c r="O50" s="7"/>
      <c r="P50" s="7"/>
      <c r="Q50" s="7"/>
      <c r="R50" s="7"/>
      <c r="S50" s="7"/>
      <c r="T50" s="7"/>
      <c r="U50" s="7"/>
      <c r="V50" s="7"/>
      <c r="W50" s="7"/>
      <c r="X50" s="7"/>
      <c r="Y50" s="7"/>
      <c r="Z50" s="7"/>
    </row>
    <row r="51" spans="1:26" ht="105.6" x14ac:dyDescent="0.3">
      <c r="A51" s="182" t="str">
        <f>TEXT($K$7, "@") &amp; TEXT(ROW(A51)-8, "00")</f>
        <v>SearchAndFilter_Filter_43</v>
      </c>
      <c r="B51" s="186" t="s">
        <v>77</v>
      </c>
      <c r="C51" s="187" t="s">
        <v>78</v>
      </c>
      <c r="D51" s="187" t="s">
        <v>111</v>
      </c>
      <c r="E51" s="188"/>
      <c r="F51" s="189" t="s">
        <v>28</v>
      </c>
      <c r="G51" s="190">
        <v>45633</v>
      </c>
      <c r="H51" s="106"/>
      <c r="I51" s="71"/>
      <c r="J51" s="7"/>
      <c r="K51" s="7"/>
      <c r="L51" s="7"/>
      <c r="M51" s="7"/>
      <c r="N51" s="7"/>
      <c r="O51" s="7"/>
      <c r="P51" s="7"/>
      <c r="Q51" s="7"/>
      <c r="R51" s="7"/>
      <c r="S51" s="7"/>
      <c r="T51" s="7"/>
      <c r="U51" s="7"/>
      <c r="V51" s="7"/>
      <c r="W51" s="7"/>
      <c r="X51" s="7"/>
      <c r="Y51" s="7"/>
      <c r="Z51" s="7"/>
    </row>
    <row r="52" spans="1:26" ht="105.6" x14ac:dyDescent="0.3">
      <c r="A52" s="182" t="str">
        <f>TEXT($K$7, "@") &amp; TEXT(ROW(A52)-8, "00")</f>
        <v>SearchAndFilter_Filter_44</v>
      </c>
      <c r="B52" s="186" t="s">
        <v>79</v>
      </c>
      <c r="C52" s="187" t="s">
        <v>78</v>
      </c>
      <c r="D52" s="187" t="s">
        <v>110</v>
      </c>
      <c r="E52" s="188"/>
      <c r="F52" s="189" t="s">
        <v>30</v>
      </c>
      <c r="G52" s="190">
        <v>45633</v>
      </c>
      <c r="H52" s="106"/>
      <c r="I52" s="107"/>
      <c r="J52" s="108"/>
      <c r="K52" s="108"/>
      <c r="L52" s="108"/>
      <c r="M52" s="108"/>
      <c r="N52" s="108"/>
      <c r="O52" s="108"/>
      <c r="P52" s="108"/>
      <c r="Q52" s="108"/>
      <c r="R52" s="108"/>
      <c r="S52" s="108"/>
      <c r="T52" s="108"/>
      <c r="U52" s="108"/>
      <c r="V52" s="108"/>
      <c r="W52" s="108"/>
      <c r="X52" s="108"/>
      <c r="Y52" s="108"/>
      <c r="Z52" s="108"/>
    </row>
    <row r="53" spans="1:26" ht="118.8" x14ac:dyDescent="0.3">
      <c r="A53" s="184" t="str">
        <f>TEXT($K$7, "@") &amp; TEXT(ROW(A53)-8, "00")</f>
        <v>SearchAndFilter_Filter_45</v>
      </c>
      <c r="B53" s="186" t="s">
        <v>283</v>
      </c>
      <c r="C53" s="187" t="s">
        <v>285</v>
      </c>
      <c r="D53" s="187" t="s">
        <v>284</v>
      </c>
      <c r="E53" s="188"/>
      <c r="F53" s="189" t="s">
        <v>28</v>
      </c>
      <c r="G53" s="190">
        <v>45633</v>
      </c>
      <c r="H53" s="106"/>
      <c r="I53" s="107"/>
      <c r="J53" s="108"/>
      <c r="K53" s="108"/>
      <c r="L53" s="108"/>
      <c r="M53" s="108"/>
      <c r="N53" s="108"/>
      <c r="O53" s="108"/>
      <c r="P53" s="108"/>
      <c r="Q53" s="108"/>
      <c r="R53" s="108"/>
      <c r="S53" s="108"/>
      <c r="T53" s="108"/>
      <c r="U53" s="108"/>
      <c r="V53" s="108"/>
      <c r="W53" s="108"/>
      <c r="X53" s="108"/>
      <c r="Y53" s="108"/>
      <c r="Z53" s="108"/>
    </row>
    <row r="54" spans="1:26" ht="105.6" x14ac:dyDescent="0.3">
      <c r="A54" s="184" t="str">
        <f>TEXT($K$7, "@") &amp; TEXT(ROW(A54)-8, "00")</f>
        <v>SearchAndFilter_Filter_46</v>
      </c>
      <c r="B54" s="186" t="s">
        <v>126</v>
      </c>
      <c r="C54" s="187" t="s">
        <v>127</v>
      </c>
      <c r="D54" s="187" t="s">
        <v>128</v>
      </c>
      <c r="E54" s="188"/>
      <c r="F54" s="189" t="s">
        <v>28</v>
      </c>
      <c r="G54" s="190">
        <v>45633</v>
      </c>
      <c r="H54" s="106"/>
      <c r="I54" s="107"/>
      <c r="J54" s="108"/>
      <c r="K54" s="108"/>
      <c r="L54" s="108"/>
      <c r="M54" s="108"/>
      <c r="N54" s="108"/>
      <c r="O54" s="108"/>
      <c r="P54" s="108"/>
      <c r="Q54" s="108"/>
      <c r="R54" s="108"/>
      <c r="S54" s="108"/>
      <c r="T54" s="108"/>
      <c r="U54" s="108"/>
      <c r="V54" s="108"/>
      <c r="W54" s="108"/>
      <c r="X54" s="108"/>
      <c r="Y54" s="108"/>
      <c r="Z54" s="108"/>
    </row>
    <row r="55" spans="1:26" ht="105.6" x14ac:dyDescent="0.3">
      <c r="A55" s="184" t="str">
        <f t="shared" ref="A55:A67" si="1">TEXT($K$7, "@") &amp; TEXT(ROW(A55)-8, "00")</f>
        <v>SearchAndFilter_Filter_47</v>
      </c>
      <c r="B55" s="186" t="s">
        <v>146</v>
      </c>
      <c r="C55" s="187" t="s">
        <v>147</v>
      </c>
      <c r="D55" s="187" t="s">
        <v>148</v>
      </c>
      <c r="E55" s="188"/>
      <c r="F55" s="189" t="s">
        <v>28</v>
      </c>
      <c r="G55" s="190">
        <v>45633</v>
      </c>
      <c r="H55" s="106"/>
      <c r="I55" s="71"/>
      <c r="J55" s="7"/>
      <c r="K55" s="7"/>
      <c r="L55" s="7"/>
      <c r="M55" s="7"/>
      <c r="N55" s="7"/>
      <c r="O55" s="7"/>
      <c r="P55" s="7"/>
      <c r="Q55" s="7"/>
      <c r="R55" s="7"/>
      <c r="S55" s="7"/>
      <c r="T55" s="7"/>
      <c r="U55" s="7"/>
      <c r="V55" s="7"/>
      <c r="W55" s="7"/>
      <c r="X55" s="7"/>
      <c r="Y55" s="7"/>
      <c r="Z55" s="7"/>
    </row>
    <row r="56" spans="1:26" ht="105.6" x14ac:dyDescent="0.3">
      <c r="A56" s="184" t="str">
        <f t="shared" si="1"/>
        <v>SearchAndFilter_Filter_48</v>
      </c>
      <c r="B56" s="186" t="s">
        <v>129</v>
      </c>
      <c r="C56" s="187" t="s">
        <v>130</v>
      </c>
      <c r="D56" s="187" t="s">
        <v>131</v>
      </c>
      <c r="E56" s="188"/>
      <c r="F56" s="189" t="s">
        <v>28</v>
      </c>
      <c r="G56" s="190">
        <v>45633</v>
      </c>
      <c r="H56" s="106"/>
      <c r="I56" s="107"/>
      <c r="J56" s="108"/>
      <c r="K56" s="108"/>
      <c r="L56" s="108"/>
      <c r="M56" s="108"/>
      <c r="N56" s="108"/>
      <c r="O56" s="108"/>
      <c r="P56" s="108"/>
      <c r="Q56" s="108"/>
      <c r="R56" s="108"/>
      <c r="S56" s="108"/>
      <c r="T56" s="108"/>
      <c r="U56" s="108"/>
      <c r="V56" s="108"/>
      <c r="W56" s="108"/>
      <c r="X56" s="108"/>
      <c r="Y56" s="108"/>
      <c r="Z56" s="108"/>
    </row>
    <row r="57" spans="1:26" ht="118.8" x14ac:dyDescent="0.3">
      <c r="A57" s="184" t="str">
        <f t="shared" si="1"/>
        <v>SearchAndFilter_Filter_49</v>
      </c>
      <c r="B57" s="186" t="s">
        <v>132</v>
      </c>
      <c r="C57" s="187" t="s">
        <v>133</v>
      </c>
      <c r="D57" s="187" t="s">
        <v>134</v>
      </c>
      <c r="E57" s="188"/>
      <c r="F57" s="189" t="s">
        <v>28</v>
      </c>
      <c r="G57" s="190">
        <v>45633</v>
      </c>
      <c r="H57" s="106"/>
      <c r="I57" s="71"/>
      <c r="J57" s="7"/>
      <c r="K57" s="7"/>
      <c r="L57" s="7"/>
      <c r="M57" s="7"/>
      <c r="N57" s="7"/>
      <c r="O57" s="7"/>
      <c r="P57" s="7"/>
      <c r="Q57" s="7"/>
      <c r="R57" s="7"/>
      <c r="S57" s="7"/>
      <c r="T57" s="7"/>
      <c r="U57" s="7"/>
      <c r="V57" s="7"/>
      <c r="W57" s="7"/>
      <c r="X57" s="7"/>
      <c r="Y57" s="7"/>
      <c r="Z57" s="7"/>
    </row>
    <row r="58" spans="1:26" ht="118.8" x14ac:dyDescent="0.3">
      <c r="A58" s="184" t="str">
        <f t="shared" si="1"/>
        <v>SearchAndFilter_Filter_50</v>
      </c>
      <c r="B58" s="186" t="s">
        <v>135</v>
      </c>
      <c r="C58" s="187" t="s">
        <v>136</v>
      </c>
      <c r="D58" s="187" t="s">
        <v>137</v>
      </c>
      <c r="E58" s="188"/>
      <c r="F58" s="189" t="s">
        <v>28</v>
      </c>
      <c r="G58" s="190">
        <v>45633</v>
      </c>
      <c r="H58" s="106"/>
      <c r="I58" s="71"/>
      <c r="J58" s="7"/>
      <c r="K58" s="7"/>
      <c r="L58" s="7"/>
      <c r="M58" s="7"/>
      <c r="N58" s="7"/>
      <c r="O58" s="7"/>
      <c r="P58" s="7"/>
      <c r="Q58" s="7"/>
      <c r="R58" s="7"/>
      <c r="S58" s="7"/>
      <c r="T58" s="7"/>
      <c r="U58" s="7"/>
      <c r="V58" s="7"/>
      <c r="W58" s="7"/>
      <c r="X58" s="7"/>
      <c r="Y58" s="7"/>
      <c r="Z58" s="7"/>
    </row>
    <row r="59" spans="1:26" ht="132" x14ac:dyDescent="0.3">
      <c r="A59" s="184" t="str">
        <f t="shared" si="1"/>
        <v>SearchAndFilter_Filter_51</v>
      </c>
      <c r="B59" s="186" t="s">
        <v>286</v>
      </c>
      <c r="C59" s="187" t="s">
        <v>287</v>
      </c>
      <c r="D59" s="187" t="s">
        <v>288</v>
      </c>
      <c r="E59" s="188"/>
      <c r="F59" s="189" t="s">
        <v>28</v>
      </c>
      <c r="G59" s="190">
        <v>45633</v>
      </c>
      <c r="H59" s="106"/>
      <c r="I59" s="71"/>
      <c r="J59" s="7"/>
      <c r="K59" s="7"/>
      <c r="L59" s="7"/>
      <c r="M59" s="7"/>
      <c r="N59" s="7"/>
      <c r="O59" s="7"/>
      <c r="P59" s="7"/>
      <c r="Q59" s="7"/>
      <c r="R59" s="7"/>
      <c r="S59" s="7"/>
      <c r="T59" s="7"/>
      <c r="U59" s="7"/>
      <c r="V59" s="7"/>
      <c r="W59" s="7"/>
      <c r="X59" s="7"/>
      <c r="Y59" s="7"/>
      <c r="Z59" s="7"/>
    </row>
    <row r="60" spans="1:26" ht="132" x14ac:dyDescent="0.3">
      <c r="A60" s="184" t="str">
        <f t="shared" si="1"/>
        <v>SearchAndFilter_Filter_52</v>
      </c>
      <c r="B60" s="186" t="s">
        <v>289</v>
      </c>
      <c r="C60" s="187" t="s">
        <v>290</v>
      </c>
      <c r="D60" s="187" t="s">
        <v>291</v>
      </c>
      <c r="E60" s="188"/>
      <c r="F60" s="189" t="s">
        <v>28</v>
      </c>
      <c r="G60" s="190">
        <v>45633</v>
      </c>
      <c r="H60" s="106"/>
      <c r="I60" s="107"/>
      <c r="J60" s="108"/>
      <c r="K60" s="108"/>
      <c r="L60" s="108"/>
      <c r="M60" s="108"/>
      <c r="N60" s="108"/>
      <c r="O60" s="108"/>
      <c r="P60" s="108"/>
      <c r="Q60" s="108"/>
      <c r="R60" s="108"/>
      <c r="S60" s="108"/>
      <c r="T60" s="108"/>
      <c r="U60" s="108"/>
      <c r="V60" s="108"/>
      <c r="W60" s="108"/>
      <c r="X60" s="108"/>
      <c r="Y60" s="108"/>
      <c r="Z60" s="108"/>
    </row>
    <row r="61" spans="1:26" ht="158.4" x14ac:dyDescent="0.3">
      <c r="A61" s="184" t="str">
        <f t="shared" si="1"/>
        <v>SearchAndFilter_Filter_53</v>
      </c>
      <c r="B61" s="186" t="s">
        <v>292</v>
      </c>
      <c r="C61" s="187" t="s">
        <v>293</v>
      </c>
      <c r="D61" s="187" t="s">
        <v>294</v>
      </c>
      <c r="E61" s="188"/>
      <c r="F61" s="189" t="s">
        <v>28</v>
      </c>
      <c r="G61" s="190">
        <v>45633</v>
      </c>
      <c r="H61" s="106"/>
      <c r="I61" s="107"/>
      <c r="J61" s="108"/>
      <c r="K61" s="108"/>
      <c r="L61" s="108"/>
      <c r="M61" s="108"/>
      <c r="N61" s="108"/>
      <c r="O61" s="108"/>
      <c r="P61" s="108"/>
      <c r="Q61" s="108"/>
      <c r="R61" s="108"/>
      <c r="S61" s="108"/>
      <c r="T61" s="108"/>
      <c r="U61" s="108"/>
      <c r="V61" s="108"/>
      <c r="W61" s="108"/>
      <c r="X61" s="108"/>
      <c r="Y61" s="108"/>
      <c r="Z61" s="108"/>
    </row>
    <row r="62" spans="1:26" ht="92.4" x14ac:dyDescent="0.3">
      <c r="A62" s="184" t="str">
        <f>TEXT($K$7, "@") &amp; TEXT(ROW(A62)-8, "00")</f>
        <v>SearchAndFilter_Filter_54</v>
      </c>
      <c r="B62" s="186" t="s">
        <v>141</v>
      </c>
      <c r="C62" s="187" t="s">
        <v>144</v>
      </c>
      <c r="D62" s="187" t="s">
        <v>145</v>
      </c>
      <c r="E62" s="188"/>
      <c r="F62" s="189" t="s">
        <v>28</v>
      </c>
      <c r="G62" s="190">
        <v>45633</v>
      </c>
      <c r="H62" s="106"/>
      <c r="I62" s="107"/>
      <c r="J62" s="108"/>
      <c r="K62" s="108"/>
      <c r="L62" s="108"/>
      <c r="M62" s="108"/>
      <c r="N62" s="108"/>
      <c r="O62" s="108"/>
      <c r="P62" s="108"/>
      <c r="Q62" s="108"/>
      <c r="R62" s="108"/>
      <c r="S62" s="108"/>
      <c r="T62" s="108"/>
      <c r="U62" s="108"/>
      <c r="V62" s="108"/>
      <c r="W62" s="108"/>
      <c r="X62" s="108"/>
      <c r="Y62" s="108"/>
      <c r="Z62" s="108"/>
    </row>
    <row r="63" spans="1:26" ht="92.4" x14ac:dyDescent="0.3">
      <c r="A63" s="184" t="str">
        <f t="shared" si="1"/>
        <v>SearchAndFilter_Filter_55</v>
      </c>
      <c r="B63" s="186" t="s">
        <v>159</v>
      </c>
      <c r="C63" s="187" t="s">
        <v>160</v>
      </c>
      <c r="D63" s="187" t="s">
        <v>161</v>
      </c>
      <c r="E63" s="188"/>
      <c r="F63" s="189" t="s">
        <v>28</v>
      </c>
      <c r="G63" s="190">
        <v>45633</v>
      </c>
      <c r="H63" s="106"/>
      <c r="I63" s="71"/>
      <c r="J63" s="7"/>
      <c r="K63" s="7"/>
      <c r="L63" s="7"/>
      <c r="M63" s="7"/>
      <c r="N63" s="7"/>
      <c r="O63" s="7"/>
      <c r="P63" s="7"/>
      <c r="Q63" s="7"/>
      <c r="R63" s="7"/>
      <c r="S63" s="7"/>
      <c r="T63" s="7"/>
      <c r="U63" s="7"/>
      <c r="V63" s="7"/>
      <c r="W63" s="7"/>
      <c r="X63" s="7"/>
      <c r="Y63" s="7"/>
      <c r="Z63" s="7"/>
    </row>
    <row r="64" spans="1:26" ht="105.6" x14ac:dyDescent="0.3">
      <c r="A64" s="184" t="str">
        <f t="shared" si="1"/>
        <v>SearchAndFilter_Filter_56</v>
      </c>
      <c r="B64" s="186" t="s">
        <v>143</v>
      </c>
      <c r="C64" s="187" t="s">
        <v>170</v>
      </c>
      <c r="D64" s="187" t="s">
        <v>142</v>
      </c>
      <c r="E64" s="188"/>
      <c r="F64" s="189" t="s">
        <v>28</v>
      </c>
      <c r="G64" s="190">
        <v>45633</v>
      </c>
      <c r="H64" s="106"/>
      <c r="I64" s="107"/>
      <c r="J64" s="108"/>
      <c r="K64" s="108"/>
      <c r="L64" s="108"/>
      <c r="M64" s="108"/>
      <c r="N64" s="108"/>
      <c r="O64" s="108"/>
      <c r="P64" s="108"/>
      <c r="Q64" s="108"/>
      <c r="R64" s="108"/>
      <c r="S64" s="108"/>
      <c r="T64" s="108"/>
      <c r="U64" s="108"/>
      <c r="V64" s="108"/>
      <c r="W64" s="108"/>
      <c r="X64" s="108"/>
      <c r="Y64" s="108"/>
      <c r="Z64" s="108"/>
    </row>
    <row r="65" spans="1:26" ht="132" x14ac:dyDescent="0.3">
      <c r="A65" s="185" t="str">
        <f t="shared" si="1"/>
        <v>SearchAndFilter_Filter_57</v>
      </c>
      <c r="B65" s="192" t="s">
        <v>154</v>
      </c>
      <c r="C65" s="193" t="s">
        <v>155</v>
      </c>
      <c r="D65" s="187" t="s">
        <v>156</v>
      </c>
      <c r="E65" s="188"/>
      <c r="F65" s="189" t="s">
        <v>28</v>
      </c>
      <c r="G65" s="190">
        <v>45633</v>
      </c>
      <c r="H65" s="106"/>
      <c r="I65" s="71"/>
      <c r="J65" s="7"/>
      <c r="K65" s="7"/>
      <c r="L65" s="7"/>
      <c r="M65" s="7"/>
      <c r="N65" s="7"/>
      <c r="O65" s="7"/>
      <c r="P65" s="7"/>
      <c r="Q65" s="7"/>
      <c r="R65" s="7"/>
      <c r="S65" s="7"/>
      <c r="T65" s="7"/>
      <c r="U65" s="7"/>
      <c r="V65" s="7"/>
      <c r="W65" s="7"/>
      <c r="X65" s="7"/>
      <c r="Y65" s="7"/>
      <c r="Z65" s="7"/>
    </row>
    <row r="66" spans="1:26" ht="92.4" x14ac:dyDescent="0.3">
      <c r="A66" s="184" t="str">
        <f t="shared" si="1"/>
        <v>SearchAndFilter_Filter_58</v>
      </c>
      <c r="B66" s="186" t="s">
        <v>162</v>
      </c>
      <c r="C66" s="187" t="s">
        <v>157</v>
      </c>
      <c r="D66" s="187" t="s">
        <v>158</v>
      </c>
      <c r="E66" s="188"/>
      <c r="F66" s="189" t="s">
        <v>28</v>
      </c>
      <c r="G66" s="190">
        <v>45633</v>
      </c>
      <c r="H66" s="106"/>
      <c r="I66" s="71"/>
      <c r="J66" s="7"/>
      <c r="K66" s="7"/>
      <c r="L66" s="7"/>
      <c r="M66" s="7"/>
      <c r="N66" s="7"/>
      <c r="O66" s="7"/>
      <c r="P66" s="7"/>
      <c r="Q66" s="7"/>
      <c r="R66" s="7"/>
      <c r="S66" s="7"/>
      <c r="T66" s="7"/>
      <c r="U66" s="7"/>
      <c r="V66" s="7"/>
      <c r="W66" s="7"/>
      <c r="X66" s="7"/>
      <c r="Y66" s="7"/>
      <c r="Z66" s="7"/>
    </row>
    <row r="67" spans="1:26" ht="105.6" x14ac:dyDescent="0.3">
      <c r="A67" s="184" t="str">
        <f t="shared" si="1"/>
        <v>SearchAndFilter_Filter_59</v>
      </c>
      <c r="B67" s="186" t="s">
        <v>168</v>
      </c>
      <c r="C67" s="187" t="s">
        <v>169</v>
      </c>
      <c r="D67" s="187" t="s">
        <v>171</v>
      </c>
      <c r="E67" s="188"/>
      <c r="F67" s="189" t="s">
        <v>28</v>
      </c>
      <c r="G67" s="190">
        <v>45633</v>
      </c>
      <c r="H67" s="106"/>
      <c r="I67" s="71"/>
      <c r="J67" s="7"/>
      <c r="K67" s="7"/>
      <c r="L67" s="7"/>
      <c r="M67" s="7"/>
      <c r="N67" s="7"/>
      <c r="O67" s="7"/>
      <c r="P67" s="7"/>
      <c r="Q67" s="7"/>
      <c r="R67" s="7"/>
      <c r="S67" s="7"/>
      <c r="T67" s="7"/>
      <c r="U67" s="7"/>
      <c r="V67" s="7"/>
      <c r="W67" s="7"/>
      <c r="X67" s="7"/>
      <c r="Y67" s="7"/>
      <c r="Z67" s="7"/>
    </row>
    <row r="68" spans="1:26" ht="105.6" x14ac:dyDescent="0.3">
      <c r="A68" s="182" t="str">
        <f>TEXT($K$8, "@") &amp; TEXT(ROW(A68)-8, "00")</f>
        <v>SearchAndFilter_Pagin_60</v>
      </c>
      <c r="B68" s="186" t="s">
        <v>80</v>
      </c>
      <c r="C68" s="187" t="s">
        <v>81</v>
      </c>
      <c r="D68" s="187" t="s">
        <v>109</v>
      </c>
      <c r="E68" s="188"/>
      <c r="F68" s="189" t="s">
        <v>28</v>
      </c>
      <c r="G68" s="190">
        <v>45633</v>
      </c>
      <c r="H68" s="106"/>
      <c r="I68" s="71"/>
      <c r="J68" s="7"/>
      <c r="K68" s="7"/>
      <c r="L68" s="7"/>
      <c r="M68" s="7"/>
      <c r="N68" s="7"/>
      <c r="O68" s="7"/>
      <c r="P68" s="7"/>
      <c r="Q68" s="7"/>
      <c r="R68" s="7"/>
      <c r="S68" s="7"/>
      <c r="T68" s="7"/>
      <c r="U68" s="7"/>
      <c r="V68" s="7"/>
      <c r="W68" s="7"/>
      <c r="X68" s="7"/>
      <c r="Y68" s="7"/>
      <c r="Z68" s="7"/>
    </row>
    <row r="69" spans="1:26" ht="79.2" x14ac:dyDescent="0.3">
      <c r="A69" s="184" t="str">
        <f>TEXT($K$8, "@") &amp; TEXT(ROW(A69)-8, "00")</f>
        <v>SearchAndFilter_Pagin_61</v>
      </c>
      <c r="B69" s="186" t="s">
        <v>163</v>
      </c>
      <c r="C69" s="187" t="s">
        <v>65</v>
      </c>
      <c r="D69" s="187" t="s">
        <v>164</v>
      </c>
      <c r="E69" s="188"/>
      <c r="F69" s="189" t="s">
        <v>28</v>
      </c>
      <c r="G69" s="190">
        <v>45633</v>
      </c>
      <c r="H69" s="106"/>
      <c r="I69" s="71"/>
      <c r="J69" s="7"/>
      <c r="K69" s="7"/>
      <c r="L69" s="7"/>
      <c r="M69" s="7"/>
      <c r="N69" s="7"/>
      <c r="O69" s="7"/>
      <c r="P69" s="7"/>
      <c r="Q69" s="7"/>
      <c r="R69" s="7"/>
      <c r="S69" s="7"/>
      <c r="T69" s="7"/>
      <c r="U69" s="7"/>
      <c r="V69" s="7"/>
      <c r="W69" s="7"/>
      <c r="X69" s="7"/>
      <c r="Y69" s="7"/>
      <c r="Z69" s="7"/>
    </row>
    <row r="70" spans="1:26" ht="105.6" x14ac:dyDescent="0.3">
      <c r="A70" s="184" t="str">
        <f t="shared" ref="A70:A74" si="2">TEXT($K$8, "@") &amp; TEXT(ROW(A70)-8, "00")</f>
        <v>SearchAndFilter_Pagin_62</v>
      </c>
      <c r="B70" s="186" t="s">
        <v>165</v>
      </c>
      <c r="C70" s="187" t="s">
        <v>166</v>
      </c>
      <c r="D70" s="187" t="s">
        <v>167</v>
      </c>
      <c r="E70" s="188"/>
      <c r="F70" s="189" t="s">
        <v>28</v>
      </c>
      <c r="G70" s="190">
        <v>45633</v>
      </c>
      <c r="H70" s="106"/>
      <c r="I70" s="71"/>
      <c r="J70" s="7"/>
      <c r="K70" s="7"/>
      <c r="L70" s="7"/>
      <c r="M70" s="7"/>
      <c r="N70" s="7"/>
      <c r="O70" s="7"/>
      <c r="P70" s="7"/>
      <c r="Q70" s="7"/>
      <c r="R70" s="7"/>
      <c r="S70" s="7"/>
      <c r="T70" s="7"/>
      <c r="U70" s="7"/>
      <c r="V70" s="7"/>
      <c r="W70" s="7"/>
      <c r="X70" s="7"/>
      <c r="Y70" s="7"/>
      <c r="Z70" s="7"/>
    </row>
    <row r="71" spans="1:26" ht="132" x14ac:dyDescent="0.3">
      <c r="A71" s="184" t="str">
        <f t="shared" si="2"/>
        <v>SearchAndFilter_Pagin_63</v>
      </c>
      <c r="B71" s="186" t="s">
        <v>174</v>
      </c>
      <c r="C71" s="187" t="s">
        <v>175</v>
      </c>
      <c r="D71" s="187" t="s">
        <v>176</v>
      </c>
      <c r="E71" s="188"/>
      <c r="F71" s="189" t="s">
        <v>28</v>
      </c>
      <c r="G71" s="190">
        <v>45633</v>
      </c>
      <c r="H71" s="106"/>
      <c r="I71" s="71"/>
      <c r="J71" s="7"/>
      <c r="K71" s="7"/>
      <c r="L71" s="7"/>
      <c r="M71" s="7"/>
      <c r="N71" s="7"/>
      <c r="O71" s="7"/>
      <c r="P71" s="7"/>
      <c r="Q71" s="7"/>
      <c r="R71" s="7"/>
      <c r="S71" s="7"/>
      <c r="T71" s="7"/>
      <c r="U71" s="7"/>
      <c r="V71" s="7"/>
      <c r="W71" s="7"/>
      <c r="X71" s="7"/>
      <c r="Y71" s="7"/>
      <c r="Z71" s="7"/>
    </row>
    <row r="72" spans="1:26" ht="118.8" x14ac:dyDescent="0.3">
      <c r="A72" s="184" t="str">
        <f t="shared" si="2"/>
        <v>SearchAndFilter_Pagin_64</v>
      </c>
      <c r="B72" s="186" t="s">
        <v>177</v>
      </c>
      <c r="C72" s="187" t="s">
        <v>178</v>
      </c>
      <c r="D72" s="187" t="s">
        <v>308</v>
      </c>
      <c r="E72" s="188"/>
      <c r="F72" s="189" t="s">
        <v>30</v>
      </c>
      <c r="G72" s="190">
        <v>45633</v>
      </c>
      <c r="H72" s="106"/>
      <c r="I72" s="71"/>
      <c r="J72" s="7"/>
      <c r="K72" s="7"/>
      <c r="L72" s="7"/>
      <c r="M72" s="7"/>
      <c r="N72" s="7"/>
      <c r="O72" s="7"/>
      <c r="P72" s="7"/>
      <c r="Q72" s="7"/>
      <c r="R72" s="7"/>
      <c r="S72" s="7"/>
      <c r="T72" s="7"/>
      <c r="U72" s="7"/>
      <c r="V72" s="7"/>
      <c r="W72" s="7"/>
      <c r="X72" s="7"/>
      <c r="Y72" s="7"/>
      <c r="Z72" s="7"/>
    </row>
    <row r="73" spans="1:26" ht="118.8" x14ac:dyDescent="0.3">
      <c r="A73" s="184" t="str">
        <f t="shared" si="2"/>
        <v>SearchAndFilter_Pagin_65</v>
      </c>
      <c r="B73" s="186" t="s">
        <v>179</v>
      </c>
      <c r="C73" s="187" t="s">
        <v>180</v>
      </c>
      <c r="D73" s="187" t="s">
        <v>181</v>
      </c>
      <c r="E73" s="188"/>
      <c r="F73" s="189" t="s">
        <v>28</v>
      </c>
      <c r="G73" s="190">
        <v>45633</v>
      </c>
      <c r="H73" s="106"/>
      <c r="I73" s="71"/>
      <c r="J73" s="7"/>
      <c r="K73" s="7"/>
      <c r="L73" s="7"/>
      <c r="M73" s="7"/>
      <c r="N73" s="7"/>
      <c r="O73" s="7"/>
      <c r="P73" s="7"/>
      <c r="Q73" s="7"/>
      <c r="R73" s="7"/>
      <c r="S73" s="7"/>
      <c r="T73" s="7"/>
      <c r="U73" s="7"/>
      <c r="V73" s="7"/>
      <c r="W73" s="7"/>
      <c r="X73" s="7"/>
      <c r="Y73" s="7"/>
      <c r="Z73" s="7"/>
    </row>
    <row r="74" spans="1:26" ht="145.19999999999999" x14ac:dyDescent="0.3">
      <c r="A74" s="184" t="str">
        <f t="shared" si="2"/>
        <v>SearchAndFilter_Pagin_66</v>
      </c>
      <c r="B74" s="186" t="s">
        <v>182</v>
      </c>
      <c r="C74" s="187" t="s">
        <v>183</v>
      </c>
      <c r="D74" s="187" t="s">
        <v>184</v>
      </c>
      <c r="E74" s="188"/>
      <c r="F74" s="189" t="s">
        <v>28</v>
      </c>
      <c r="G74" s="190">
        <v>45633</v>
      </c>
      <c r="H74" s="106"/>
      <c r="I74" s="71"/>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1"/>
      <c r="H75" s="7"/>
      <c r="I75" s="7"/>
      <c r="J75" s="7"/>
      <c r="K75" s="7"/>
      <c r="L75" s="7"/>
      <c r="M75" s="7"/>
      <c r="N75" s="7"/>
      <c r="O75" s="7"/>
      <c r="P75" s="7"/>
      <c r="Q75" s="7"/>
      <c r="R75" s="7"/>
      <c r="S75" s="7"/>
      <c r="T75" s="7"/>
      <c r="U75" s="7"/>
      <c r="V75" s="7"/>
      <c r="W75" s="7"/>
      <c r="X75" s="7"/>
    </row>
    <row r="76" spans="1:26" ht="12.75" customHeight="1" x14ac:dyDescent="0.3">
      <c r="A76" s="7"/>
      <c r="B76" s="7"/>
      <c r="C76" s="7"/>
      <c r="D76" s="7"/>
      <c r="E76" s="7"/>
      <c r="F76" s="7"/>
      <c r="G76" s="71"/>
      <c r="H76" s="7"/>
      <c r="I76" s="7"/>
      <c r="J76" s="7"/>
      <c r="K76" s="7"/>
      <c r="L76" s="7"/>
      <c r="M76" s="7"/>
      <c r="N76" s="7"/>
      <c r="O76" s="7"/>
      <c r="P76" s="7"/>
      <c r="Q76" s="7"/>
      <c r="R76" s="7"/>
      <c r="S76" s="7"/>
      <c r="T76" s="7"/>
      <c r="U76" s="7"/>
      <c r="V76" s="7"/>
      <c r="W76" s="7"/>
      <c r="X76" s="7"/>
    </row>
    <row r="77" spans="1:26" ht="12.75" customHeight="1" x14ac:dyDescent="0.3">
      <c r="A77" s="7"/>
      <c r="B77" s="7"/>
      <c r="C77" s="7"/>
      <c r="D77" s="7"/>
      <c r="E77" s="7"/>
      <c r="F77" s="7"/>
      <c r="G77" s="71"/>
      <c r="H77" s="7"/>
      <c r="I77" s="7"/>
      <c r="J77" s="7"/>
      <c r="K77" s="7"/>
      <c r="L77" s="7"/>
      <c r="M77" s="7"/>
      <c r="N77" s="7"/>
      <c r="O77" s="7"/>
      <c r="P77" s="7"/>
      <c r="Q77" s="7"/>
      <c r="R77" s="7"/>
      <c r="S77" s="7"/>
      <c r="T77" s="7"/>
      <c r="U77" s="7"/>
      <c r="V77" s="7"/>
      <c r="W77" s="7"/>
      <c r="X77" s="7"/>
    </row>
    <row r="78" spans="1:26" ht="12.75" customHeight="1" x14ac:dyDescent="0.3">
      <c r="A78" s="7"/>
      <c r="B78" s="7"/>
      <c r="C78" s="7"/>
      <c r="D78" s="7"/>
      <c r="E78" s="7"/>
      <c r="F78" s="7"/>
      <c r="G78" s="71"/>
      <c r="H78" s="7"/>
      <c r="I78" s="7"/>
      <c r="J78" s="7"/>
      <c r="K78" s="7"/>
      <c r="L78" s="7"/>
      <c r="M78" s="7"/>
      <c r="N78" s="7"/>
      <c r="O78" s="7"/>
      <c r="P78" s="7"/>
      <c r="Q78" s="7"/>
      <c r="R78" s="7"/>
      <c r="S78" s="7"/>
      <c r="T78" s="7"/>
      <c r="U78" s="7"/>
      <c r="V78" s="7"/>
      <c r="W78" s="7"/>
      <c r="X78" s="7"/>
    </row>
    <row r="79" spans="1:26" ht="12.75" customHeight="1" x14ac:dyDescent="0.3">
      <c r="A79" s="7"/>
      <c r="B79" s="7"/>
      <c r="C79" s="7"/>
      <c r="D79" s="7"/>
      <c r="E79" s="7"/>
      <c r="F79" s="7"/>
      <c r="G79" s="7"/>
      <c r="H79" s="7"/>
      <c r="I79" s="71"/>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1"/>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1"/>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1"/>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1"/>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1"/>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1"/>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1"/>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1"/>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1"/>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1"/>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1"/>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1"/>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1"/>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1"/>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1"/>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1"/>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1"/>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1"/>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1"/>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1"/>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1"/>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1"/>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1"/>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1"/>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1"/>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1"/>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1"/>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1"/>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1"/>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1"/>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1"/>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1"/>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1"/>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1"/>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1"/>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1"/>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1"/>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1"/>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1"/>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1"/>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1"/>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1"/>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1"/>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1"/>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1"/>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1"/>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1"/>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1"/>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1"/>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1"/>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1"/>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1"/>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1"/>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1"/>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1"/>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1"/>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1"/>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1"/>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1"/>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1"/>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1"/>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1"/>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1"/>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1"/>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1"/>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1"/>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1"/>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1"/>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1"/>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1"/>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1"/>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1"/>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1"/>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1"/>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1"/>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1"/>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1"/>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1"/>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1"/>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1"/>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1"/>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1"/>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1"/>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1"/>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1"/>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1"/>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1"/>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1"/>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1"/>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1"/>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1"/>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1"/>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1"/>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1"/>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1"/>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1"/>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1"/>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1"/>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1"/>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1"/>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1"/>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1"/>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1"/>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1"/>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1"/>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1"/>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1"/>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1"/>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1"/>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1"/>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1"/>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1"/>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1"/>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1"/>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1"/>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1"/>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1"/>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1"/>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1"/>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1"/>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1"/>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1"/>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1"/>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1"/>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1"/>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1"/>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1"/>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1"/>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1"/>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1"/>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1"/>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1"/>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1"/>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1"/>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1"/>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1"/>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1"/>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1"/>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1"/>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1"/>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1"/>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1"/>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1"/>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1"/>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1"/>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1"/>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1"/>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1"/>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1"/>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1"/>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1"/>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1"/>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1"/>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1"/>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1"/>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1"/>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1"/>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1"/>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1"/>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1"/>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1"/>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1"/>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1"/>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1"/>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1"/>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1"/>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1"/>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1"/>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1"/>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1"/>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1"/>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1"/>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1"/>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1"/>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1"/>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1"/>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1"/>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1"/>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1"/>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1"/>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1"/>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1"/>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1"/>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1"/>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1"/>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1"/>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1"/>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1"/>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1"/>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1"/>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1"/>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1"/>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1"/>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1"/>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1"/>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1"/>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1"/>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1"/>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1"/>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1"/>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1"/>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1"/>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1"/>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1"/>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1"/>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1"/>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1"/>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1"/>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1"/>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1"/>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1"/>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1"/>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1"/>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1"/>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1"/>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1"/>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1"/>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1"/>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1"/>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1"/>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1"/>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1"/>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1"/>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1"/>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1"/>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1"/>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1"/>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1"/>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1"/>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1"/>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1"/>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1"/>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1"/>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1"/>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1"/>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1"/>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1"/>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1"/>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1"/>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1"/>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1"/>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1"/>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1"/>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1"/>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1"/>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1"/>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1"/>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1"/>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1"/>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1"/>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1"/>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1"/>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1"/>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1"/>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1"/>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1"/>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1"/>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1"/>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1"/>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1"/>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1"/>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1"/>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1"/>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1"/>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1"/>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1"/>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1"/>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1"/>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1"/>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1"/>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1"/>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1"/>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1"/>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1"/>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1"/>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1"/>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1"/>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1"/>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1"/>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1"/>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1"/>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1"/>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1"/>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1"/>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1"/>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1"/>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1"/>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1"/>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1"/>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1"/>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1"/>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1"/>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1"/>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1"/>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1"/>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1"/>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1"/>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1"/>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1"/>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1"/>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1"/>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1"/>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1"/>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1"/>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1"/>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1"/>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1"/>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1"/>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1"/>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1"/>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1"/>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1"/>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1"/>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1"/>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1"/>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1"/>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1"/>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1"/>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1"/>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1"/>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1"/>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1"/>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1"/>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1"/>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1"/>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1"/>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1"/>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1"/>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1"/>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1"/>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1"/>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1"/>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1"/>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1"/>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1"/>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1"/>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1"/>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1"/>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1"/>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1"/>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1"/>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1"/>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1"/>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1"/>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1"/>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1"/>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1"/>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1"/>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1"/>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1"/>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1"/>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1"/>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1"/>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1"/>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1"/>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1"/>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1"/>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1"/>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1"/>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1"/>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1"/>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1"/>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1"/>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1"/>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1"/>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1"/>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1"/>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1"/>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1"/>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1"/>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1"/>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1"/>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1"/>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1"/>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1"/>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1"/>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1"/>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1"/>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1"/>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1"/>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1"/>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1"/>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1"/>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1"/>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1"/>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1"/>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1"/>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1"/>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1"/>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1"/>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1"/>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1"/>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1"/>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1"/>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1"/>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1"/>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1"/>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1"/>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1"/>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1"/>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1"/>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1"/>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1"/>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1"/>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1"/>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1"/>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1"/>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1"/>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1"/>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1"/>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1"/>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1"/>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1"/>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1"/>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1"/>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1"/>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1"/>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1"/>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1"/>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1"/>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1"/>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1"/>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1"/>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1"/>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1"/>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1"/>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1"/>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1"/>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1"/>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1"/>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1"/>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1"/>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1"/>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1"/>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1"/>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1"/>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1"/>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1"/>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1"/>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1"/>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1"/>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1"/>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1"/>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1"/>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1"/>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1"/>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1"/>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1"/>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1"/>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1"/>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1"/>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1"/>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1"/>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1"/>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1"/>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1"/>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1"/>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1"/>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1"/>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1"/>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1"/>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1"/>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1"/>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1"/>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1"/>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1"/>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1"/>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1"/>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1"/>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1"/>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1"/>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1"/>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1"/>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1"/>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1"/>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1"/>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1"/>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1"/>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1"/>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1"/>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1"/>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1"/>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1"/>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1"/>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1"/>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1"/>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1"/>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1"/>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1"/>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1"/>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1"/>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1"/>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1"/>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1"/>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1"/>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1"/>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1"/>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1"/>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1"/>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1"/>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1"/>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1"/>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1"/>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1"/>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1"/>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1"/>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1"/>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1"/>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1"/>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1"/>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1"/>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1"/>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1"/>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1"/>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1"/>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1"/>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1"/>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1"/>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1"/>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1"/>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1"/>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1"/>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1"/>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1"/>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1"/>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1"/>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1"/>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1"/>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1"/>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1"/>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1"/>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1"/>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1"/>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1"/>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1"/>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1"/>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1"/>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1"/>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1"/>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1"/>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1"/>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1"/>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1"/>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1"/>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1"/>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1"/>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1"/>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1"/>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1"/>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1"/>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1"/>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1"/>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1"/>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1"/>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1"/>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1"/>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1"/>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1"/>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1"/>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1"/>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1"/>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1"/>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1"/>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1"/>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1"/>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1"/>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1"/>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1"/>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1"/>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1"/>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1"/>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1"/>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1"/>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1"/>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1"/>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1"/>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1"/>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1"/>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1"/>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1"/>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1"/>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1"/>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1"/>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1"/>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1"/>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1"/>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1"/>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1"/>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1"/>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1"/>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1"/>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1"/>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1"/>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1"/>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1"/>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1"/>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1"/>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1"/>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1"/>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1"/>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1"/>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1"/>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1"/>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1"/>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1"/>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1"/>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1"/>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1"/>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1"/>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1"/>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1"/>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1"/>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1"/>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1"/>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1"/>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1"/>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1"/>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1"/>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1"/>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1"/>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1"/>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1"/>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1"/>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1"/>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1"/>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1"/>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1"/>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1"/>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1"/>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1"/>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1"/>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1"/>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1"/>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1"/>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1"/>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1"/>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1"/>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1"/>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1"/>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1"/>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1"/>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1"/>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1"/>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1"/>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1"/>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1"/>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1"/>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1"/>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1"/>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1"/>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1"/>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1"/>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1"/>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1"/>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1"/>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1"/>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1"/>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1"/>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1"/>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1"/>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1"/>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1"/>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1"/>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1"/>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1"/>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1"/>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1"/>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1"/>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1"/>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1"/>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1"/>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1"/>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1"/>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1"/>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1"/>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1"/>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1"/>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1"/>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1"/>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1"/>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1"/>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1"/>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1"/>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1"/>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1"/>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1"/>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1"/>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1"/>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1"/>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1"/>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1"/>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1"/>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1"/>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1"/>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1"/>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1"/>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1"/>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1"/>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1"/>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1"/>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1"/>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1"/>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1"/>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1"/>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1"/>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1"/>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1"/>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1"/>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1"/>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1"/>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1"/>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1"/>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1"/>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1"/>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1"/>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1"/>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1"/>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1"/>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1"/>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1"/>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1"/>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1"/>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1"/>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1"/>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1"/>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1"/>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1"/>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1"/>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1"/>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1"/>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1"/>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1"/>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1"/>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1"/>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1"/>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1"/>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1"/>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1"/>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1"/>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1"/>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1"/>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1"/>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1"/>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1"/>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1"/>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1"/>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1"/>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1"/>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1"/>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1"/>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1"/>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1"/>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1"/>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1"/>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1"/>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1"/>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1"/>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1"/>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1"/>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1"/>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1"/>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1"/>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1"/>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1"/>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1"/>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1"/>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1"/>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1"/>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1"/>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1"/>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1"/>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1"/>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1"/>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1"/>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1"/>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1"/>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1"/>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1"/>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1"/>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1"/>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1"/>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1"/>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1"/>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1"/>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1"/>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1"/>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1"/>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1"/>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1"/>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1"/>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1"/>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1"/>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1"/>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1"/>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1"/>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1"/>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1"/>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1"/>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1"/>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1"/>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1"/>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1"/>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1"/>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1"/>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1"/>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1"/>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1"/>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1"/>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1"/>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1"/>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1"/>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1"/>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1"/>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1"/>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1"/>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1"/>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1"/>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1"/>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1"/>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1"/>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1"/>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1"/>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1"/>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1"/>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1"/>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1"/>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1"/>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1"/>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1"/>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1"/>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1"/>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1"/>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1"/>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1"/>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1"/>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1"/>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1"/>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1"/>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1"/>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1"/>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1"/>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1"/>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1"/>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1"/>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1"/>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1"/>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1"/>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1"/>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1"/>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1"/>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1"/>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1"/>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1"/>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1"/>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1"/>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1"/>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1"/>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1"/>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1"/>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1"/>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1"/>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1"/>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1"/>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1"/>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1"/>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1"/>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1"/>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1"/>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1"/>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1"/>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1"/>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1"/>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1"/>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1"/>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1"/>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1"/>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1"/>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1"/>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1"/>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1"/>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1"/>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1"/>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1"/>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1"/>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1"/>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1"/>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1"/>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1"/>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1"/>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1"/>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1"/>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1"/>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1"/>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1"/>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1"/>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1"/>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1"/>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1"/>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1"/>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1"/>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1"/>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1"/>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1"/>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1"/>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1"/>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1"/>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1"/>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1"/>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1"/>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1"/>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1"/>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1"/>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1"/>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1"/>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1"/>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1"/>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1"/>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1"/>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1"/>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71"/>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71"/>
      <c r="J1000" s="7"/>
      <c r="K1000" s="7"/>
      <c r="L1000" s="7"/>
      <c r="M1000" s="7"/>
      <c r="N1000" s="7"/>
      <c r="O1000" s="7"/>
      <c r="P1000" s="7"/>
      <c r="Q1000" s="7"/>
      <c r="R1000" s="7"/>
      <c r="S1000" s="7"/>
      <c r="T1000" s="7"/>
      <c r="U1000" s="7"/>
      <c r="V1000" s="7"/>
      <c r="W1000" s="7"/>
      <c r="X1000" s="7"/>
      <c r="Y1000" s="7"/>
      <c r="Z1000" s="7"/>
    </row>
    <row r="1001" spans="1:26" ht="12.75" customHeight="1" x14ac:dyDescent="0.3">
      <c r="A1001" s="7"/>
      <c r="B1001" s="7"/>
      <c r="C1001" s="7"/>
      <c r="D1001" s="7"/>
      <c r="E1001" s="7"/>
      <c r="F1001" s="7"/>
      <c r="G1001" s="7"/>
      <c r="H1001" s="7"/>
      <c r="I1001" s="71"/>
      <c r="J1001" s="7"/>
      <c r="K1001" s="7"/>
      <c r="L1001" s="7"/>
      <c r="M1001" s="7"/>
      <c r="N1001" s="7"/>
      <c r="O1001" s="7"/>
      <c r="P1001" s="7"/>
      <c r="Q1001" s="7"/>
      <c r="R1001" s="7"/>
      <c r="S1001" s="7"/>
      <c r="T1001" s="7"/>
      <c r="U1001" s="7"/>
      <c r="V1001" s="7"/>
      <c r="W1001" s="7"/>
      <c r="X1001" s="7"/>
      <c r="Y1001" s="7"/>
      <c r="Z1001" s="7"/>
    </row>
    <row r="1002" spans="1:26" ht="12.75" customHeight="1" x14ac:dyDescent="0.3">
      <c r="A1002" s="7"/>
      <c r="B1002" s="7"/>
      <c r="C1002" s="7"/>
      <c r="D1002" s="7"/>
      <c r="E1002" s="7"/>
      <c r="F1002" s="7"/>
      <c r="G1002" s="7"/>
      <c r="H1002" s="7"/>
      <c r="I1002" s="71"/>
      <c r="J1002" s="7"/>
      <c r="K1002" s="7"/>
      <c r="L1002" s="7"/>
      <c r="M1002" s="7"/>
      <c r="N1002" s="7"/>
      <c r="O1002" s="7"/>
      <c r="P1002" s="7"/>
      <c r="Q1002" s="7"/>
      <c r="R1002" s="7"/>
      <c r="S1002" s="7"/>
      <c r="T1002" s="7"/>
      <c r="U1002" s="7"/>
      <c r="V1002" s="7"/>
      <c r="W1002" s="7"/>
      <c r="X1002" s="7"/>
      <c r="Y1002" s="7"/>
      <c r="Z1002" s="7"/>
    </row>
    <row r="1003" spans="1:26" ht="12.75" customHeight="1" x14ac:dyDescent="0.3">
      <c r="A1003" s="7"/>
      <c r="B1003" s="7"/>
      <c r="C1003" s="7"/>
      <c r="D1003" s="7"/>
      <c r="E1003" s="7"/>
      <c r="F1003" s="7"/>
      <c r="G1003" s="7"/>
      <c r="H1003" s="7"/>
      <c r="I1003" s="71"/>
      <c r="J1003" s="7"/>
      <c r="K1003" s="7"/>
      <c r="L1003" s="7"/>
      <c r="M1003" s="7"/>
      <c r="N1003" s="7"/>
      <c r="O1003" s="7"/>
      <c r="P1003" s="7"/>
      <c r="Q1003" s="7"/>
      <c r="R1003" s="7"/>
      <c r="S1003" s="7"/>
      <c r="T1003" s="7"/>
      <c r="U1003" s="7"/>
      <c r="V1003" s="7"/>
      <c r="W1003" s="7"/>
      <c r="X1003" s="7"/>
      <c r="Y1003" s="7"/>
      <c r="Z1003" s="7"/>
    </row>
    <row r="1004" spans="1:26" ht="12.75" customHeight="1" x14ac:dyDescent="0.3">
      <c r="A1004" s="7"/>
      <c r="B1004" s="7"/>
      <c r="C1004" s="7"/>
      <c r="D1004" s="7"/>
      <c r="E1004" s="7"/>
      <c r="F1004" s="7"/>
      <c r="G1004" s="7"/>
      <c r="H1004" s="7"/>
      <c r="I1004" s="71"/>
      <c r="J1004" s="7"/>
      <c r="K1004" s="7"/>
      <c r="L1004" s="7"/>
      <c r="M1004" s="7"/>
      <c r="N1004" s="7"/>
      <c r="O1004" s="7"/>
      <c r="P1004" s="7"/>
      <c r="Q1004" s="7"/>
      <c r="R1004" s="7"/>
      <c r="S1004" s="7"/>
      <c r="T1004" s="7"/>
      <c r="U1004" s="7"/>
      <c r="V1004" s="7"/>
      <c r="W1004" s="7"/>
      <c r="X1004" s="7"/>
      <c r="Y1004" s="7"/>
      <c r="Z1004" s="7"/>
    </row>
    <row r="1005" spans="1:26" ht="12.75" customHeight="1" x14ac:dyDescent="0.3">
      <c r="A1005" s="7"/>
      <c r="B1005" s="7"/>
      <c r="C1005" s="7"/>
      <c r="D1005" s="7"/>
      <c r="E1005" s="7"/>
      <c r="F1005" s="7"/>
      <c r="G1005" s="7"/>
      <c r="H1005" s="7"/>
      <c r="I1005" s="71"/>
      <c r="J1005" s="7"/>
      <c r="K1005" s="7"/>
      <c r="L1005" s="7"/>
      <c r="M1005" s="7"/>
      <c r="N1005" s="7"/>
      <c r="O1005" s="7"/>
      <c r="P1005" s="7"/>
      <c r="Q1005" s="7"/>
      <c r="R1005" s="7"/>
      <c r="S1005" s="7"/>
      <c r="T1005" s="7"/>
      <c r="U1005" s="7"/>
      <c r="V1005" s="7"/>
      <c r="W1005" s="7"/>
      <c r="X1005" s="7"/>
      <c r="Y1005" s="7"/>
      <c r="Z1005" s="7"/>
    </row>
    <row r="1006" spans="1:26" ht="12.75" customHeight="1" x14ac:dyDescent="0.3">
      <c r="A1006" s="7"/>
      <c r="B1006" s="7"/>
      <c r="C1006" s="7"/>
      <c r="D1006" s="7"/>
      <c r="E1006" s="7"/>
      <c r="F1006" s="7"/>
      <c r="G1006" s="7"/>
      <c r="H1006" s="7"/>
      <c r="I1006" s="71"/>
      <c r="J1006" s="7"/>
      <c r="K1006" s="7"/>
      <c r="L1006" s="7"/>
      <c r="M1006" s="7"/>
      <c r="N1006" s="7"/>
      <c r="O1006" s="7"/>
      <c r="P1006" s="7"/>
      <c r="Q1006" s="7"/>
      <c r="R1006" s="7"/>
      <c r="S1006" s="7"/>
      <c r="T1006" s="7"/>
      <c r="U1006" s="7"/>
      <c r="V1006" s="7"/>
      <c r="W1006" s="7"/>
      <c r="X1006" s="7"/>
      <c r="Y1006" s="7"/>
      <c r="Z1006" s="7"/>
    </row>
    <row r="1007" spans="1:26" ht="12.75" customHeight="1" x14ac:dyDescent="0.3">
      <c r="A1007" s="7"/>
      <c r="B1007" s="7"/>
      <c r="C1007" s="7"/>
      <c r="D1007" s="7"/>
      <c r="E1007" s="7"/>
      <c r="F1007" s="7"/>
      <c r="G1007" s="7"/>
      <c r="H1007" s="7"/>
      <c r="I1007" s="71"/>
      <c r="J1007" s="7"/>
      <c r="K1007" s="7"/>
      <c r="L1007" s="7"/>
      <c r="M1007" s="7"/>
      <c r="N1007" s="7"/>
      <c r="O1007" s="7"/>
      <c r="P1007" s="7"/>
      <c r="Q1007" s="7"/>
      <c r="R1007" s="7"/>
      <c r="S1007" s="7"/>
      <c r="T1007" s="7"/>
      <c r="U1007" s="7"/>
      <c r="V1007" s="7"/>
      <c r="W1007" s="7"/>
      <c r="X1007" s="7"/>
      <c r="Y1007" s="7"/>
      <c r="Z1007" s="7"/>
    </row>
    <row r="1008" spans="1:26" ht="12.75" customHeight="1" x14ac:dyDescent="0.3">
      <c r="A1008" s="7"/>
      <c r="B1008" s="7"/>
      <c r="C1008" s="7"/>
      <c r="D1008" s="7"/>
      <c r="E1008" s="7"/>
      <c r="F1008" s="7"/>
      <c r="G1008" s="7"/>
      <c r="H1008" s="7"/>
      <c r="I1008" s="71"/>
      <c r="J1008" s="7"/>
      <c r="K1008" s="7"/>
      <c r="L1008" s="7"/>
      <c r="M1008" s="7"/>
      <c r="N1008" s="7"/>
      <c r="O1008" s="7"/>
      <c r="P1008" s="7"/>
      <c r="Q1008" s="7"/>
      <c r="R1008" s="7"/>
      <c r="S1008" s="7"/>
      <c r="T1008" s="7"/>
      <c r="U1008" s="7"/>
      <c r="V1008" s="7"/>
      <c r="W1008" s="7"/>
      <c r="X1008" s="7"/>
      <c r="Y1008" s="7"/>
      <c r="Z1008" s="7"/>
    </row>
    <row r="1009" spans="1:26" ht="12.75" customHeight="1" x14ac:dyDescent="0.3">
      <c r="A1009" s="7"/>
      <c r="B1009" s="7"/>
      <c r="C1009" s="7"/>
      <c r="D1009" s="7"/>
      <c r="E1009" s="7"/>
      <c r="F1009" s="7"/>
      <c r="G1009" s="7"/>
      <c r="H1009" s="7"/>
      <c r="I1009" s="71"/>
      <c r="J1009" s="7"/>
      <c r="K1009" s="7"/>
      <c r="L1009" s="7"/>
      <c r="M1009" s="7"/>
      <c r="N1009" s="7"/>
      <c r="O1009" s="7"/>
      <c r="P1009" s="7"/>
      <c r="Q1009" s="7"/>
      <c r="R1009" s="7"/>
      <c r="S1009" s="7"/>
      <c r="T1009" s="7"/>
      <c r="U1009" s="7"/>
      <c r="V1009" s="7"/>
      <c r="W1009" s="7"/>
      <c r="X1009" s="7"/>
      <c r="Y1009" s="7"/>
      <c r="Z1009" s="7"/>
    </row>
    <row r="1010" spans="1:26" ht="12.75" customHeight="1" x14ac:dyDescent="0.3">
      <c r="A1010" s="7"/>
      <c r="B1010" s="7"/>
      <c r="C1010" s="7"/>
      <c r="D1010" s="7"/>
      <c r="E1010" s="7"/>
      <c r="F1010" s="7"/>
      <c r="G1010" s="7"/>
      <c r="H1010" s="7"/>
      <c r="I1010" s="71"/>
      <c r="J1010" s="7"/>
      <c r="K1010" s="7"/>
      <c r="L1010" s="7"/>
      <c r="M1010" s="7"/>
      <c r="N1010" s="7"/>
      <c r="O1010" s="7"/>
      <c r="P1010" s="7"/>
      <c r="Q1010" s="7"/>
      <c r="R1010" s="7"/>
      <c r="S1010" s="7"/>
      <c r="T1010" s="7"/>
      <c r="U1010" s="7"/>
      <c r="V1010" s="7"/>
      <c r="W1010" s="7"/>
      <c r="X1010" s="7"/>
      <c r="Y1010" s="7"/>
      <c r="Z1010" s="7"/>
    </row>
    <row r="1011" spans="1:26" ht="12.75" customHeight="1" x14ac:dyDescent="0.3">
      <c r="A1011" s="7"/>
      <c r="B1011" s="7"/>
      <c r="C1011" s="7"/>
      <c r="D1011" s="7"/>
      <c r="E1011" s="7"/>
      <c r="F1011" s="7"/>
      <c r="G1011" s="7"/>
      <c r="H1011" s="7"/>
      <c r="I1011" s="71"/>
      <c r="J1011" s="7"/>
      <c r="K1011" s="7"/>
      <c r="L1011" s="7"/>
      <c r="M1011" s="7"/>
      <c r="N1011" s="7"/>
      <c r="O1011" s="7"/>
      <c r="P1011" s="7"/>
      <c r="Q1011" s="7"/>
      <c r="R1011" s="7"/>
      <c r="S1011" s="7"/>
      <c r="T1011" s="7"/>
      <c r="U1011" s="7"/>
      <c r="V1011" s="7"/>
      <c r="W1011" s="7"/>
      <c r="X1011" s="7"/>
      <c r="Y1011" s="7"/>
      <c r="Z1011" s="7"/>
    </row>
    <row r="1012" spans="1:26" ht="12.75" customHeight="1" x14ac:dyDescent="0.3">
      <c r="A1012" s="7"/>
      <c r="B1012" s="7"/>
      <c r="C1012" s="7"/>
      <c r="D1012" s="7"/>
      <c r="E1012" s="7"/>
      <c r="F1012" s="7"/>
      <c r="G1012" s="7"/>
      <c r="H1012" s="7"/>
      <c r="I1012" s="71"/>
      <c r="J1012" s="7"/>
      <c r="K1012" s="7"/>
      <c r="L1012" s="7"/>
      <c r="M1012" s="7"/>
      <c r="N1012" s="7"/>
      <c r="O1012" s="7"/>
      <c r="P1012" s="7"/>
      <c r="Q1012" s="7"/>
      <c r="R1012" s="7"/>
      <c r="S1012" s="7"/>
      <c r="T1012" s="7"/>
      <c r="U1012" s="7"/>
      <c r="V1012" s="7"/>
      <c r="W1012" s="7"/>
      <c r="X1012" s="7"/>
      <c r="Y1012" s="7"/>
      <c r="Z1012" s="7"/>
    </row>
    <row r="1013" spans="1:26" ht="12.75" customHeight="1" x14ac:dyDescent="0.3">
      <c r="A1013" s="7"/>
      <c r="B1013" s="7"/>
      <c r="C1013" s="7"/>
      <c r="D1013" s="7"/>
      <c r="E1013" s="7"/>
      <c r="F1013" s="7"/>
      <c r="G1013" s="7"/>
      <c r="H1013" s="7"/>
      <c r="I1013" s="71"/>
      <c r="J1013" s="7"/>
      <c r="K1013" s="7"/>
      <c r="L1013" s="7"/>
      <c r="M1013" s="7"/>
      <c r="N1013" s="7"/>
      <c r="O1013" s="7"/>
      <c r="P1013" s="7"/>
      <c r="Q1013" s="7"/>
      <c r="R1013" s="7"/>
      <c r="S1013" s="7"/>
      <c r="T1013" s="7"/>
      <c r="U1013" s="7"/>
      <c r="V1013" s="7"/>
      <c r="W1013" s="7"/>
      <c r="X1013" s="7"/>
      <c r="Y1013" s="7"/>
      <c r="Z1013" s="7"/>
    </row>
    <row r="1014" spans="1:26" ht="12.75" customHeight="1" x14ac:dyDescent="0.3">
      <c r="A1014" s="7"/>
      <c r="B1014" s="7"/>
      <c r="C1014" s="7"/>
      <c r="D1014" s="7"/>
      <c r="E1014" s="7"/>
      <c r="F1014" s="7"/>
      <c r="G1014" s="7"/>
      <c r="H1014" s="7"/>
      <c r="I1014" s="71"/>
      <c r="J1014" s="7"/>
      <c r="K1014" s="7"/>
      <c r="L1014" s="7"/>
      <c r="M1014" s="7"/>
      <c r="N1014" s="7"/>
      <c r="O1014" s="7"/>
      <c r="P1014" s="7"/>
      <c r="Q1014" s="7"/>
      <c r="R1014" s="7"/>
      <c r="S1014" s="7"/>
      <c r="T1014" s="7"/>
      <c r="U1014" s="7"/>
      <c r="V1014" s="7"/>
      <c r="W1014" s="7"/>
      <c r="X1014" s="7"/>
      <c r="Y1014" s="7"/>
      <c r="Z1014" s="7"/>
    </row>
    <row r="1015" spans="1:26" ht="12.75" customHeight="1" x14ac:dyDescent="0.3">
      <c r="A1015" s="7"/>
      <c r="B1015" s="7"/>
      <c r="C1015" s="7"/>
      <c r="D1015" s="7"/>
      <c r="E1015" s="7"/>
      <c r="F1015" s="7"/>
      <c r="G1015" s="7"/>
      <c r="H1015" s="7"/>
      <c r="I1015" s="71"/>
      <c r="J1015" s="7"/>
      <c r="K1015" s="7"/>
      <c r="L1015" s="7"/>
      <c r="M1015" s="7"/>
      <c r="N1015" s="7"/>
      <c r="O1015" s="7"/>
      <c r="P1015" s="7"/>
      <c r="Q1015" s="7"/>
      <c r="R1015" s="7"/>
      <c r="S1015" s="7"/>
      <c r="T1015" s="7"/>
      <c r="U1015" s="7"/>
      <c r="V1015" s="7"/>
      <c r="W1015" s="7"/>
      <c r="X1015" s="7"/>
      <c r="Y1015" s="7"/>
      <c r="Z1015" s="7"/>
    </row>
  </sheetData>
  <mergeCells count="5">
    <mergeCell ref="B2:H2"/>
    <mergeCell ref="B3:H3"/>
    <mergeCell ref="B4:H4"/>
    <mergeCell ref="F5:H5"/>
    <mergeCell ref="F6:H6"/>
  </mergeCells>
  <dataValidations count="1">
    <dataValidation type="list" allowBlank="1" showInputMessage="1" showErrorMessage="1" prompt=" - " sqref="F7:F158" xr:uid="{AAB72B30-5C68-4533-829A-DC3857E01AE7}">
      <formula1>$J$2:$J$6</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98"/>
  <sheetViews>
    <sheetView workbookViewId="0">
      <selection activeCell="G16" sqref="G16"/>
    </sheetView>
  </sheetViews>
  <sheetFormatPr defaultColWidth="14.44140625" defaultRowHeight="15" customHeight="1" x14ac:dyDescent="0.3"/>
  <cols>
    <col min="1" max="1" width="10.33203125" customWidth="1"/>
    <col min="2" max="2" width="15.44140625" customWidth="1"/>
    <col min="3" max="3" width="27.21875" customWidth="1"/>
    <col min="4" max="6" width="10.33203125" customWidth="1"/>
    <col min="7" max="7" width="14.21875" customWidth="1"/>
    <col min="8" max="8" width="12.33203125" customWidth="1"/>
    <col min="9" max="9" width="30.109375" customWidth="1"/>
    <col min="10" max="26" width="9.109375" customWidth="1"/>
  </cols>
  <sheetData>
    <row r="1" spans="1:26" ht="25.5" customHeight="1" x14ac:dyDescent="0.4">
      <c r="A1" s="7"/>
      <c r="B1" s="169" t="s">
        <v>43</v>
      </c>
      <c r="C1" s="169"/>
      <c r="D1" s="169"/>
      <c r="E1" s="169"/>
      <c r="F1" s="169"/>
      <c r="G1" s="169"/>
      <c r="H1" s="169"/>
      <c r="I1" s="7"/>
      <c r="J1" s="7"/>
      <c r="K1" s="7"/>
      <c r="L1" s="7"/>
      <c r="M1" s="7"/>
      <c r="N1" s="7"/>
      <c r="O1" s="7"/>
      <c r="P1" s="7"/>
      <c r="Q1" s="7"/>
      <c r="R1" s="7"/>
      <c r="S1" s="7"/>
      <c r="T1" s="7"/>
      <c r="U1" s="7"/>
      <c r="V1" s="7"/>
      <c r="W1" s="7"/>
      <c r="X1" s="7"/>
      <c r="Y1" s="7"/>
      <c r="Z1" s="7"/>
    </row>
    <row r="2" spans="1:26" ht="14.25" customHeight="1" x14ac:dyDescent="0.3">
      <c r="A2" s="77"/>
      <c r="B2" s="77"/>
      <c r="C2" s="7"/>
      <c r="D2" s="7"/>
      <c r="E2" s="7"/>
      <c r="F2" s="7"/>
      <c r="G2" s="7"/>
      <c r="H2" s="78"/>
      <c r="I2" s="7"/>
      <c r="J2" s="7"/>
      <c r="K2" s="7"/>
      <c r="L2" s="7"/>
      <c r="M2" s="7"/>
      <c r="N2" s="7"/>
      <c r="O2" s="7"/>
      <c r="P2" s="7"/>
      <c r="Q2" s="7"/>
      <c r="R2" s="7"/>
      <c r="S2" s="7"/>
      <c r="T2" s="7"/>
      <c r="U2" s="7"/>
      <c r="V2" s="7"/>
      <c r="W2" s="7"/>
      <c r="X2" s="7"/>
      <c r="Y2" s="7"/>
      <c r="Z2" s="7"/>
    </row>
    <row r="3" spans="1:26" ht="12" customHeight="1" x14ac:dyDescent="0.3">
      <c r="A3" s="7"/>
      <c r="B3" s="79" t="s">
        <v>1</v>
      </c>
      <c r="C3" s="162" t="str">
        <f>Cover!C4</f>
        <v>Website CellphoneS</v>
      </c>
      <c r="D3" s="171"/>
      <c r="E3" s="168" t="s">
        <v>2</v>
      </c>
      <c r="F3" s="170"/>
      <c r="G3" s="80" t="s">
        <v>56</v>
      </c>
      <c r="H3" s="81"/>
      <c r="I3" s="7"/>
      <c r="J3" s="7"/>
      <c r="K3" s="7"/>
      <c r="L3" s="7"/>
      <c r="M3" s="7"/>
      <c r="N3" s="7"/>
      <c r="O3" s="7"/>
      <c r="P3" s="7"/>
      <c r="Q3" s="7"/>
      <c r="R3" s="7"/>
      <c r="S3" s="7"/>
      <c r="T3" s="7"/>
      <c r="U3" s="7"/>
      <c r="V3" s="7"/>
      <c r="W3" s="7"/>
      <c r="X3" s="7"/>
      <c r="Y3" s="7"/>
      <c r="Z3" s="7"/>
    </row>
    <row r="4" spans="1:26" ht="12" customHeight="1" x14ac:dyDescent="0.3">
      <c r="A4" s="7"/>
      <c r="B4" s="79" t="s">
        <v>3</v>
      </c>
      <c r="C4" s="162" t="str">
        <f>Cover!C5</f>
        <v>Website CellphoneS</v>
      </c>
      <c r="D4" s="171"/>
      <c r="E4" s="168" t="s">
        <v>4</v>
      </c>
      <c r="F4" s="170"/>
      <c r="G4" s="80" t="s">
        <v>56</v>
      </c>
      <c r="H4" s="81"/>
      <c r="I4" s="7"/>
      <c r="J4" s="7"/>
      <c r="K4" s="7"/>
      <c r="L4" s="7"/>
      <c r="M4" s="7"/>
      <c r="N4" s="7"/>
      <c r="O4" s="7"/>
      <c r="P4" s="7"/>
      <c r="Q4" s="7"/>
      <c r="R4" s="7"/>
      <c r="S4" s="7"/>
      <c r="T4" s="7"/>
      <c r="U4" s="7"/>
      <c r="V4" s="7"/>
      <c r="W4" s="7"/>
      <c r="X4" s="7"/>
      <c r="Y4" s="7"/>
      <c r="Z4" s="7"/>
    </row>
    <row r="5" spans="1:26" ht="12" customHeight="1" x14ac:dyDescent="0.3">
      <c r="A5" s="7"/>
      <c r="B5" s="82" t="s">
        <v>5</v>
      </c>
      <c r="C5" s="162" t="str">
        <f>C4&amp;"_"&amp;"Test Report"&amp;"_"&amp;"v0.1"</f>
        <v>Website CellphoneS_Test Report_v0.1</v>
      </c>
      <c r="D5" s="171"/>
      <c r="E5" s="168" t="s">
        <v>6</v>
      </c>
      <c r="F5" s="170"/>
      <c r="G5" s="83">
        <v>45672</v>
      </c>
      <c r="H5" s="84" t="s">
        <v>44</v>
      </c>
      <c r="I5" s="7"/>
      <c r="J5" s="7"/>
      <c r="K5" s="7"/>
      <c r="L5" s="7"/>
      <c r="M5" s="7"/>
      <c r="N5" s="7"/>
      <c r="O5" s="7"/>
      <c r="P5" s="7"/>
      <c r="Q5" s="7"/>
      <c r="R5" s="7"/>
      <c r="S5" s="7"/>
      <c r="T5" s="7"/>
      <c r="U5" s="7"/>
      <c r="V5" s="7"/>
      <c r="W5" s="7"/>
      <c r="X5" s="7"/>
      <c r="Y5" s="7"/>
      <c r="Z5" s="7"/>
    </row>
    <row r="6" spans="1:26" ht="21.6" customHeight="1" x14ac:dyDescent="0.3">
      <c r="A6" s="77"/>
      <c r="B6" s="82" t="s">
        <v>45</v>
      </c>
      <c r="C6" s="164" t="s">
        <v>46</v>
      </c>
      <c r="D6" s="172"/>
      <c r="E6" s="172"/>
      <c r="F6" s="172"/>
      <c r="G6" s="172"/>
      <c r="H6" s="173"/>
      <c r="I6" s="7"/>
      <c r="J6" s="7"/>
      <c r="K6" s="7"/>
      <c r="L6" s="7"/>
      <c r="M6" s="7"/>
      <c r="N6" s="7"/>
      <c r="O6" s="7"/>
      <c r="P6" s="7"/>
      <c r="Q6" s="7"/>
      <c r="R6" s="7"/>
      <c r="S6" s="7"/>
      <c r="T6" s="7"/>
      <c r="U6" s="7"/>
      <c r="V6" s="7"/>
      <c r="W6" s="7"/>
      <c r="X6" s="7"/>
      <c r="Y6" s="7"/>
      <c r="Z6" s="7"/>
    </row>
    <row r="7" spans="1:26" ht="14.25" customHeight="1" x14ac:dyDescent="0.3">
      <c r="A7" s="77"/>
      <c r="B7" s="12"/>
      <c r="C7" s="85"/>
      <c r="D7" s="7"/>
      <c r="E7" s="7"/>
      <c r="F7" s="7"/>
      <c r="G7" s="7"/>
      <c r="H7" s="78"/>
      <c r="I7" s="7"/>
      <c r="J7" s="7"/>
      <c r="K7" s="7"/>
      <c r="L7" s="7"/>
      <c r="M7" s="7"/>
      <c r="N7" s="7"/>
      <c r="O7" s="7"/>
      <c r="P7" s="7"/>
      <c r="Q7" s="7"/>
      <c r="R7" s="7"/>
      <c r="S7" s="7"/>
      <c r="T7" s="7"/>
      <c r="U7" s="7"/>
      <c r="V7" s="7"/>
      <c r="W7" s="7"/>
      <c r="X7" s="7"/>
      <c r="Y7" s="7"/>
      <c r="Z7" s="7"/>
    </row>
    <row r="8" spans="1:26" ht="12.75" customHeight="1" x14ac:dyDescent="0.3">
      <c r="A8" s="7"/>
      <c r="B8" s="12"/>
      <c r="C8" s="85"/>
      <c r="D8" s="7"/>
      <c r="E8" s="7"/>
      <c r="F8" s="7"/>
      <c r="G8" s="7"/>
      <c r="H8" s="78"/>
      <c r="I8" s="7"/>
      <c r="J8" s="7"/>
      <c r="K8" s="7"/>
      <c r="L8" s="7"/>
      <c r="M8" s="7"/>
      <c r="N8" s="7"/>
      <c r="O8" s="7"/>
      <c r="P8" s="7"/>
      <c r="Q8" s="7"/>
      <c r="R8" s="7"/>
      <c r="S8" s="7"/>
      <c r="T8" s="7"/>
      <c r="U8" s="7"/>
      <c r="V8" s="7"/>
      <c r="W8" s="7"/>
      <c r="X8" s="7"/>
      <c r="Y8" s="7"/>
      <c r="Z8" s="7"/>
    </row>
    <row r="9" spans="1:26" ht="12.7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2.75" customHeight="1" x14ac:dyDescent="0.3">
      <c r="A10" s="86"/>
      <c r="B10" s="87" t="s">
        <v>20</v>
      </c>
      <c r="C10" s="88" t="s">
        <v>47</v>
      </c>
      <c r="D10" s="89" t="s">
        <v>48</v>
      </c>
      <c r="E10" s="88" t="s">
        <v>49</v>
      </c>
      <c r="F10" s="88" t="s">
        <v>33</v>
      </c>
      <c r="G10" s="90" t="s">
        <v>32</v>
      </c>
      <c r="H10" s="91" t="s">
        <v>34</v>
      </c>
      <c r="I10" s="91" t="s">
        <v>50</v>
      </c>
      <c r="J10" s="7"/>
      <c r="K10" s="7"/>
      <c r="L10" s="7"/>
      <c r="M10" s="7"/>
      <c r="N10" s="7"/>
      <c r="O10" s="7"/>
      <c r="P10" s="7"/>
      <c r="Q10" s="7"/>
      <c r="R10" s="7"/>
      <c r="S10" s="7"/>
      <c r="T10" s="7"/>
      <c r="U10" s="7"/>
      <c r="V10" s="7"/>
      <c r="W10" s="7"/>
      <c r="X10" s="7"/>
      <c r="Y10" s="7"/>
      <c r="Z10" s="7"/>
    </row>
    <row r="11" spans="1:26" ht="12.75" customHeight="1" x14ac:dyDescent="0.3">
      <c r="A11" s="86"/>
      <c r="B11" s="92">
        <v>1</v>
      </c>
      <c r="C11" s="93" t="str">
        <f>SearchAndFilter!B2</f>
        <v>Tìm kiếm và lọc sản phẩm</v>
      </c>
      <c r="D11" s="94">
        <f>SearchAndFilter!A6</f>
        <v>56</v>
      </c>
      <c r="E11" s="94">
        <f>SearchAndFilter!B6</f>
        <v>10</v>
      </c>
      <c r="F11" s="94">
        <f>SearchAndFilter!C6</f>
        <v>0</v>
      </c>
      <c r="G11" s="95">
        <f>SearchAndFilter!D6</f>
        <v>0</v>
      </c>
      <c r="H11" s="95">
        <f>SearchAndFilter!E6</f>
        <v>0</v>
      </c>
      <c r="I11" s="96">
        <f>SearchAndFilter!F6</f>
        <v>66</v>
      </c>
      <c r="J11" s="7"/>
      <c r="K11" s="7"/>
      <c r="L11" s="7"/>
      <c r="M11" s="7"/>
      <c r="N11" s="7"/>
      <c r="O11" s="7"/>
      <c r="P11" s="7"/>
      <c r="Q11" s="7"/>
      <c r="R11" s="7"/>
      <c r="S11" s="7"/>
      <c r="T11" s="7"/>
      <c r="U11" s="7"/>
      <c r="V11" s="7"/>
      <c r="W11" s="7"/>
      <c r="X11" s="7"/>
      <c r="Y11" s="7"/>
      <c r="Z11" s="7"/>
    </row>
    <row r="12" spans="1:26" ht="12.75" customHeight="1" x14ac:dyDescent="0.3">
      <c r="A12" s="86"/>
      <c r="B12" s="92"/>
      <c r="C12" s="93"/>
      <c r="D12" s="94"/>
      <c r="E12" s="94"/>
      <c r="F12" s="94"/>
      <c r="G12" s="95"/>
      <c r="H12" s="95"/>
      <c r="I12" s="96"/>
      <c r="J12" s="7"/>
      <c r="K12" s="7"/>
      <c r="L12" s="7"/>
      <c r="M12" s="7"/>
      <c r="N12" s="7"/>
      <c r="O12" s="7"/>
      <c r="P12" s="7"/>
      <c r="Q12" s="7"/>
      <c r="R12" s="7"/>
      <c r="S12" s="7"/>
      <c r="T12" s="7"/>
      <c r="U12" s="7"/>
      <c r="V12" s="7"/>
      <c r="W12" s="7"/>
      <c r="X12" s="7"/>
      <c r="Y12" s="7"/>
      <c r="Z12" s="7"/>
    </row>
    <row r="13" spans="1:26" ht="12.75" customHeight="1" x14ac:dyDescent="0.3">
      <c r="A13" s="86"/>
      <c r="B13" s="97"/>
      <c r="C13" s="98" t="s">
        <v>51</v>
      </c>
      <c r="D13" s="99">
        <f t="shared" ref="D13:I13" si="0">SUM(D9:D12)</f>
        <v>56</v>
      </c>
      <c r="E13" s="99">
        <f t="shared" si="0"/>
        <v>10</v>
      </c>
      <c r="F13" s="99">
        <f t="shared" si="0"/>
        <v>0</v>
      </c>
      <c r="G13" s="99">
        <f t="shared" si="0"/>
        <v>0</v>
      </c>
      <c r="H13" s="100">
        <f t="shared" si="0"/>
        <v>0</v>
      </c>
      <c r="I13" s="100">
        <f t="shared" si="0"/>
        <v>66</v>
      </c>
      <c r="J13" s="7"/>
      <c r="K13" s="7"/>
      <c r="L13" s="7"/>
      <c r="M13" s="7"/>
      <c r="N13" s="7"/>
      <c r="O13" s="7"/>
      <c r="P13" s="7"/>
      <c r="Q13" s="7"/>
      <c r="R13" s="7"/>
      <c r="S13" s="7"/>
      <c r="T13" s="7"/>
      <c r="U13" s="7"/>
      <c r="V13" s="7"/>
      <c r="W13" s="7"/>
      <c r="X13" s="7"/>
      <c r="Y13" s="7"/>
      <c r="Z13" s="7"/>
    </row>
    <row r="14" spans="1:26" ht="12.75" customHeight="1" x14ac:dyDescent="0.3">
      <c r="A14" s="7"/>
      <c r="B14" s="101"/>
      <c r="C14" s="7"/>
      <c r="D14" s="102"/>
      <c r="E14" s="103"/>
      <c r="F14" s="103"/>
      <c r="G14" s="103"/>
      <c r="H14" s="103"/>
      <c r="I14" s="7"/>
      <c r="J14" s="7"/>
      <c r="K14" s="7"/>
      <c r="L14" s="7"/>
      <c r="M14" s="7"/>
      <c r="N14" s="7"/>
      <c r="O14" s="7"/>
      <c r="P14" s="7"/>
      <c r="Q14" s="7"/>
      <c r="R14" s="7"/>
      <c r="S14" s="7"/>
      <c r="T14" s="7"/>
      <c r="U14" s="7"/>
      <c r="V14" s="7"/>
      <c r="W14" s="7"/>
      <c r="X14" s="7"/>
      <c r="Y14" s="7"/>
      <c r="Z14" s="7"/>
    </row>
    <row r="15" spans="1:26" ht="12.75" customHeight="1" x14ac:dyDescent="0.3">
      <c r="A15" s="7"/>
      <c r="B15" s="7"/>
      <c r="C15" s="5" t="s">
        <v>52</v>
      </c>
      <c r="D15" s="7"/>
      <c r="E15" s="104">
        <f>(D13+E13)*100/(I13-H13-G13)</f>
        <v>100</v>
      </c>
      <c r="F15" s="7" t="s">
        <v>53</v>
      </c>
      <c r="G15" s="7"/>
      <c r="H15" s="67"/>
      <c r="I15" s="7"/>
      <c r="J15" s="7"/>
      <c r="K15" s="7"/>
      <c r="L15" s="7"/>
      <c r="M15" s="7"/>
      <c r="N15" s="7"/>
      <c r="O15" s="7"/>
      <c r="P15" s="7"/>
      <c r="Q15" s="7"/>
      <c r="R15" s="7"/>
      <c r="S15" s="7"/>
      <c r="T15" s="7"/>
      <c r="U15" s="7"/>
      <c r="V15" s="7"/>
      <c r="W15" s="7"/>
      <c r="X15" s="7"/>
      <c r="Y15" s="7"/>
      <c r="Z15" s="7"/>
    </row>
    <row r="16" spans="1:26" ht="12.75" customHeight="1" x14ac:dyDescent="0.3">
      <c r="A16" s="7"/>
      <c r="B16" s="7"/>
      <c r="C16" s="5" t="s">
        <v>54</v>
      </c>
      <c r="D16" s="7"/>
      <c r="E16" s="104">
        <f>D13*100/(D13+E13)</f>
        <v>84.848484848484844</v>
      </c>
      <c r="F16" s="7" t="s">
        <v>53</v>
      </c>
      <c r="G16" s="7"/>
      <c r="H16" s="67"/>
      <c r="I16" s="7"/>
      <c r="J16" s="7"/>
      <c r="K16" s="7"/>
      <c r="L16" s="7"/>
      <c r="M16" s="7"/>
      <c r="N16" s="7"/>
      <c r="O16" s="7"/>
      <c r="P16" s="7"/>
      <c r="Q16" s="7"/>
      <c r="R16" s="7"/>
      <c r="S16" s="7"/>
      <c r="T16" s="7"/>
      <c r="U16" s="7"/>
      <c r="V16" s="7"/>
      <c r="W16" s="7"/>
      <c r="X16" s="7"/>
      <c r="Y16" s="7"/>
      <c r="Z16" s="7"/>
    </row>
    <row r="17" spans="1:26" ht="12.7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2.75" customHeight="1" x14ac:dyDescent="0.3">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TestDesign</vt:lpstr>
      <vt:lpstr>Test case List</vt:lpstr>
      <vt:lpstr>SearchAndFilter</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2014-07-14T08:56:24Z</dcterms:created>
  <dcterms:modified xsi:type="dcterms:W3CDTF">2025-01-19T07:04:18Z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