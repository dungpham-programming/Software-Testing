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E:\Tester\"/>
    </mc:Choice>
  </mc:AlternateContent>
  <xr:revisionPtr revIDLastSave="0" documentId="13_ncr:1_{3317EEF8-0559-48D0-80AB-8AB7076EC2B2}" xr6:coauthVersionLast="47" xr6:coauthVersionMax="47" xr10:uidLastSave="{00000000-0000-0000-0000-000000000000}"/>
  <bookViews>
    <workbookView xWindow="-108" yWindow="-108" windowWidth="23256" windowHeight="13176" activeTab="3" xr2:uid="{00000000-000D-0000-FFFF-FFFF00000000}"/>
  </bookViews>
  <sheets>
    <sheet name="Cover" sheetId="1" r:id="rId1"/>
    <sheet name="Test case List" sheetId="2" r:id="rId2"/>
    <sheet name="Giỏ hàng" sheetId="5" r:id="rId3"/>
    <sheet name="Test Report" sheetId="8" r:id="rId4"/>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81029"/>
  <extLst>
    <ext uri="GoogleSheetsCustomDataVersion1">
      <go:sheetsCustomData xmlns:go="http://customooxmlschemas.google.com/" r:id="rId12" roundtripDataSignature="AMtx7miJxXulxHjXBfT/kUfWOsP3NjNe0w=="/>
    </ext>
  </extLst>
</workbook>
</file>

<file path=xl/calcChain.xml><?xml version="1.0" encoding="utf-8"?>
<calcChain xmlns="http://schemas.openxmlformats.org/spreadsheetml/2006/main">
  <c r="A69" i="5" l="1"/>
  <c r="A67" i="5"/>
  <c r="A68" i="5"/>
  <c r="A66" i="5"/>
  <c r="A65" i="5"/>
  <c r="A41" i="5"/>
  <c r="A61" i="5"/>
  <c r="A62" i="5"/>
  <c r="A63" i="5"/>
  <c r="A64" i="5"/>
  <c r="A48" i="5"/>
  <c r="A36" i="5"/>
  <c r="A37" i="5"/>
  <c r="E47" i="5" s="1"/>
  <c r="A38" i="5"/>
  <c r="A39" i="5"/>
  <c r="A40" i="5"/>
  <c r="A42" i="5"/>
  <c r="A43" i="5"/>
  <c r="A44" i="5"/>
  <c r="A45" i="5"/>
  <c r="A46" i="5"/>
  <c r="A47" i="5"/>
  <c r="E48" i="5" s="1"/>
  <c r="A49" i="5"/>
  <c r="A50" i="5"/>
  <c r="A51" i="5"/>
  <c r="A52" i="5"/>
  <c r="A53" i="5"/>
  <c r="A54" i="5"/>
  <c r="A55" i="5"/>
  <c r="A56" i="5"/>
  <c r="A57" i="5"/>
  <c r="A58" i="5"/>
  <c r="A59" i="5"/>
  <c r="A60" i="5"/>
  <c r="A35" i="5"/>
  <c r="A34" i="5"/>
  <c r="A16" i="5"/>
  <c r="A17" i="5"/>
  <c r="A18" i="5"/>
  <c r="A19" i="5"/>
  <c r="A20" i="5"/>
  <c r="E34" i="5" s="1"/>
  <c r="A21" i="5"/>
  <c r="A22" i="5"/>
  <c r="E23" i="5" s="1"/>
  <c r="A23" i="5"/>
  <c r="A24" i="5"/>
  <c r="A25" i="5"/>
  <c r="E26" i="5" s="1"/>
  <c r="A26" i="5"/>
  <c r="A27" i="5"/>
  <c r="E28" i="5" s="1"/>
  <c r="A28" i="5"/>
  <c r="A29" i="5"/>
  <c r="A30" i="5"/>
  <c r="A31" i="5"/>
  <c r="E32" i="5" s="1"/>
  <c r="A32" i="5"/>
  <c r="A33" i="5"/>
  <c r="A12" i="5"/>
  <c r="E22" i="5" s="1"/>
  <c r="A13" i="5"/>
  <c r="A11" i="5"/>
  <c r="A14" i="5"/>
  <c r="A15" i="5"/>
  <c r="A9" i="5"/>
  <c r="A10" i="5"/>
  <c r="E38" i="5" s="1"/>
  <c r="C11" i="8"/>
  <c r="C4" i="8"/>
  <c r="C5" i="8" s="1"/>
  <c r="C3" i="8"/>
  <c r="E6" i="5"/>
  <c r="H11" i="8" s="1"/>
  <c r="H15" i="8" s="1"/>
  <c r="D6" i="5"/>
  <c r="G11" i="8" s="1"/>
  <c r="B6" i="5"/>
  <c r="E11" i="8" s="1"/>
  <c r="E15" i="8" s="1"/>
  <c r="A6" i="5"/>
  <c r="D11" i="8" s="1"/>
  <c r="D4" i="2"/>
  <c r="D3" i="2"/>
  <c r="C6" i="1"/>
  <c r="E45" i="5" l="1"/>
  <c r="E37" i="5"/>
  <c r="E24" i="5"/>
  <c r="E25" i="5"/>
  <c r="E27" i="5"/>
  <c r="E29" i="5"/>
  <c r="E30" i="5"/>
  <c r="E31" i="5"/>
  <c r="E33" i="5"/>
  <c r="E13" i="5"/>
  <c r="E15" i="5"/>
  <c r="E14" i="5"/>
  <c r="E16" i="5"/>
  <c r="E17" i="5"/>
  <c r="E18" i="5"/>
  <c r="E19" i="5"/>
  <c r="E21" i="5"/>
  <c r="F6" i="5"/>
  <c r="I11" i="8" s="1"/>
  <c r="G15" i="8"/>
  <c r="D15" i="8"/>
  <c r="C6" i="5" l="1"/>
  <c r="F11" i="8" s="1"/>
  <c r="F15" i="8" s="1"/>
  <c r="I15" i="8"/>
  <c r="E17" i="8" s="1"/>
  <c r="E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extLst>
    <ext xmlns:r="http://schemas.openxmlformats.org/officeDocument/2006/relationships" uri="GoogleSheetsCustomDataVersion1">
      <go:sheetsCustomData xmlns:go="http://customooxmlschemas.google.com/" r:id="rId1" roundtripDataSignature="AMtx7mh4r3ldso+XbCKscmHalLs/WaIb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sz val="11"/>
            <color rgb="FF000000"/>
            <rFont val="Calibri"/>
            <scheme val="minor"/>
          </rPr>
          <t>======
ID#AAAAHWfBFy8
    (2020-11-28 06:09:48)
Pass
Fail
Untested
N/A</t>
        </r>
      </text>
    </comment>
  </commentList>
  <extLst>
    <ext xmlns:r="http://schemas.openxmlformats.org/officeDocument/2006/relationships" uri="GoogleSheetsCustomDataVersion1">
      <go:sheetsCustomData xmlns:go="http://customooxmlschemas.google.com/" r:id="rId1" roundtripDataSignature="AMtx7mj0npjeWqykbPUQM7irOy67OG+uxQ=="/>
    </ext>
  </extLst>
</comments>
</file>

<file path=xl/sharedStrings.xml><?xml version="1.0" encoding="utf-8"?>
<sst xmlns="http://schemas.openxmlformats.org/spreadsheetml/2006/main" count="272" uniqueCount="239">
  <si>
    <t>TEST CASE</t>
  </si>
  <si>
    <t>Project Name</t>
  </si>
  <si>
    <t>AB-SD</t>
  </si>
  <si>
    <t>Creator</t>
  </si>
  <si>
    <t>Project Code</t>
  </si>
  <si>
    <t>Reviewer/Approver</t>
  </si>
  <si>
    <t>Trần Thị B</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</si>
  <si>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</si>
  <si>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</si>
  <si>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</si>
  <si>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</si>
  <si>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</si>
  <si>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</si>
  <si>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</si>
  <si>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</si>
  <si>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</si>
  <si>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</si>
  <si>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</si>
  <si>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</si>
  <si>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</si>
  <si>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</si>
  <si>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Test Environment Setup Description</t>
  </si>
  <si>
    <t>&lt;List enviroment requires in this system
1. Server
2. Database
3. Web Browser
...
&gt;</t>
  </si>
  <si>
    <t>No</t>
  </si>
  <si>
    <t>Function Name</t>
  </si>
  <si>
    <t>Sheet Name</t>
  </si>
  <si>
    <t>Description</t>
  </si>
  <si>
    <t>Pre-Condition</t>
  </si>
  <si>
    <t>Note</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</si>
  <si>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</si>
  <si>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</si>
  <si>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</si>
  <si>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</si>
  <si>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</si>
  <si>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</si>
  <si>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</si>
  <si>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</si>
  <si>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</si>
  <si>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</si>
  <si>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</si>
  <si>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</si>
  <si>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</si>
  <si>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</si>
  <si>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</si>
  <si>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</si>
  <si>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</si>
  <si>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</si>
  <si>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</si>
  <si>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</si>
  <si>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</si>
  <si>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</si>
  <si>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</si>
  <si>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</si>
  <si>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</si>
  <si>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</si>
  <si>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</si>
  <si>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</si>
  <si>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1. Nút "Thêm vào giỏ" sẽ thay đổi thành màu đỏ.
2. Chữ bên trong sẽ thay đổi thành màu trắng.
3. Con trỏ chuột chuyển thành hand on mouse( bàn tay)</t>
  </si>
  <si>
    <t xml:space="preserve">Cart_UI_ </t>
  </si>
  <si>
    <t>1. Background sẽ bao thêm một lớp phủ trắng trong suốt 20%.
2. Con trỏ chuổ chuyển thành hand on mouse (bàn hay).</t>
  </si>
  <si>
    <t xml:space="preserve">Kiểm tra giao diện "Giỏ hàng" khi không có sản phẩm trong giỏ. </t>
  </si>
  <si>
    <t>Kiểm tra giao diện "Giỏ hàng" khi có sản phẩm trong giỏ.</t>
  </si>
  <si>
    <t>Kiểm tra giao diện từng sản phẩm trong giỏ hàng.</t>
  </si>
  <si>
    <t>1.Từng sản phẩm trong giỏ hiển thị đầy đủ các thông tin: Ảnh, tên, loại, loại biến thể, giá tiền, số lượng, nút xóa, các voucher (nếu có), nút checkbox. 
2. Giao diện chi tiết từng sản phẩm giống với mô tả trong SRS</t>
  </si>
  <si>
    <t>1. Màn hình sẽ hiển thị các sản phẩm trong giỏ. 
2. Mỗi sản phẩm được bao bởi một container riêng với nền trắng.
3. Có dòng chữ chọn tất cả trên cùng của các sản phẩm và nút checkbox cạnh bên trái.</t>
  </si>
  <si>
    <t xml:space="preserve">Kiểm tra giao diện khi hover vào nút "Thêm giỏ hàng". </t>
  </si>
  <si>
    <t>Kiểm tra giao diện khi hover vào nút "Giỏ hàng".</t>
  </si>
  <si>
    <t>Kiểm tra giao diện khi hover vào checkbox "chọn tất cả".</t>
  </si>
  <si>
    <t>1. Người dùng truy cập vào trang web Cellphones: https://cellphones.com.vn/
2. Người dùng ấn vào sản phẩm để truy cập vào trang chi tiết sản phẩm.
3. Người dùng di chuyển chuột vào nút "Thêm giỏ hàng".</t>
  </si>
  <si>
    <t>1. Người dùng truy cập vào trang web Cellphones: https://cellphones.com.vn/
2. Người dùng di chuyển chuột vào nút "Giỏ hàng" trên thanh header.</t>
  </si>
  <si>
    <t>1. Thực hiện theo các bước của test case có ID là: Cart_UI_04.
2. Quan sát từng sản phẩm trong giỏ.</t>
  </si>
  <si>
    <t xml:space="preserve"> Màn hình giỏ hàng sẽ hiển thị dòng chữ "Giỏ hàng trống".</t>
  </si>
  <si>
    <t>Con trỏ chuột chuyển thành hand on mouse( bàn tay)</t>
  </si>
  <si>
    <t>Kiểm tra khi hover vào nút "điều chỉnh số lượng".</t>
  </si>
  <si>
    <t>1. Di chuyển chuột vào nút [+] [-] (điều chỉnh số lượng)
2. Quan sát giao diện của 2 nút này.</t>
  </si>
  <si>
    <t>Có nút [+] [-] để điều chỉnh số lượng như mô tả trong SRS.</t>
  </si>
  <si>
    <t xml:space="preserve">1.Có ô để nhập số lượng nằm giữa 2 nút [+] [-].
</t>
  </si>
  <si>
    <t>1. Số lượng ban đầu hiển thị là 1.</t>
  </si>
  <si>
    <t>Kiểm tra hiển thị số mặc định ban đầu trên ô nhập số lượng.</t>
  </si>
  <si>
    <t>Kiểm tra giao diện nút "điều chỉnh số lượng".</t>
  </si>
  <si>
    <t>Con trỏ chuột chuyển thành hand on mouse (bàn tay).</t>
  </si>
  <si>
    <t>Kiểm tra giao diện ô nhập số lượng.</t>
  </si>
  <si>
    <t>1. Người dùng ấn vào biểu tượng [Giỏ hàng] trên sản phẩm tại màn hình [Trang chủ].
2. Quan sát.</t>
  </si>
  <si>
    <t xml:space="preserve">Hiển thị một pop-up mô tả ngắn gọn sản phẩm như mô tả trong SRS.
</t>
  </si>
  <si>
    <t>Kiểm tra việc hiển thị button "Xóa sản phẩm đã chọn"</t>
  </si>
  <si>
    <t>Pre-condition: 
Nguười dùng đã thêm ít nhất 1 sản phẩm vào giỏ hàng.
Step:
1. Người dùng truy cập vào trang web Cellphones: https://cellphones.com.vn/
1. Người dùng ấn vào nút "Giỏ hàng" trên thanh header.
2. Quan sát giao diện giỏ hàng.</t>
  </si>
  <si>
    <t>1. Di chuyển chuột vào checkbox "chọn tất cả" tại màn hình [Giỏ hàng}.
2. Quan sát.</t>
  </si>
  <si>
    <t>1. Người dùng chọn ít nhất 1 sản phẩm bất kỳ trong giỏ hàng.
2. Quan sát.</t>
  </si>
  <si>
    <t>Hiển thị button Xóa sản phẩm đã chọn như mô tả trong SRS.</t>
  </si>
  <si>
    <t>Kiểm tra việc hover vào button "Xóa sản phẩm đã chọn"</t>
  </si>
  <si>
    <t>1. Người dùng chọn ít nhất 1 sản phẩm bất kỳ trong giỏ hàng.
2. Di chuyển chuột vào button "Xóa sản phẩm đã chọn".</t>
  </si>
  <si>
    <t xml:space="preserve">1.  Con trỏ chuột chuyển thành hand on mouse (bàn tay).
2. Chữ màu đậm hơn và có gạch chân. </t>
  </si>
  <si>
    <t>Kiểm tra việc hiển thị chương trình khuyến mãi trên sản phẩm.</t>
  </si>
  <si>
    <t>Pre-condition: 
Sản phẩm đó có chương trình khuyến mãi
1. Người dùng vào giỏ hàng.
2. Quan sát mỗi sản phẩm trong giỏ hàng.</t>
  </si>
  <si>
    <t>Hiển thị chương trình khuyến mãi như mô tả trong SRS.</t>
  </si>
  <si>
    <t>Kiểm tra việc hiển thị các "Gói bảo vệ" trên mỗi sản phẩm.</t>
  </si>
  <si>
    <t>1. Người dùng truy cập vào giỏ hàng.
2. Ấn vào nút "chọn gói".</t>
  </si>
  <si>
    <t>Hiển thị ra các gói bảo vệ sản phẩm toàn diện với dịch vụ bảo hành mở rộng cho người dùng lựa chọn, như mô tả trong SRS.</t>
  </si>
  <si>
    <t>Kiểm tra khi hover vào nút "chọn gói"</t>
  </si>
  <si>
    <t>1. Người dùng di chuyển chuột vào nút "chọn gói".
2. Quan sát.</t>
  </si>
  <si>
    <t>Kiểm tra việc hiển thị các sản phẩm mua kèm tiết kiệm.</t>
  </si>
  <si>
    <t>Pre-condition: 
Sản phẩm đó có chương trình mua kèm tiết kiệm.
Step:
1. Người dùng truy cập vào giỏ hàng.
2. Quan sát.</t>
  </si>
  <si>
    <t>Tại mỗi sản phẩm trong giỏ hàng sẽ hiển thị các sản phẩm mua kèm được giảm giá như mô tả trong SRS.</t>
  </si>
  <si>
    <t>Kiểm tra khi hover vào nút "Chọn sản phẩm" trên các sản phẩm mua kèm tiết kiệm.</t>
  </si>
  <si>
    <t>1. Di chuyển chuột vào nút "Chọn sản phẩm" trên các sản phẩm mua kèm tiết kiệm.
2. Quan sát.</t>
  </si>
  <si>
    <t>1. Nút "Chọn sản phẩm" chuyển thành màu đỏ đậm với độ trong suốt 80%.
2. Con trỏ chuột chuyển thành hand on mouse (bàn tay).</t>
  </si>
  <si>
    <t>Kiểm tra việc hiển thị tổng giá ban đầu khi chưa chọn sản phẩm nào.</t>
  </si>
  <si>
    <t>1. Người dùng vào giỏ hàng.
2. Quan sát số tiền sau dòng chữ: "Tạm tính".</t>
  </si>
  <si>
    <t>Số tiền mặc định ban đầu là 0đ.</t>
  </si>
  <si>
    <t>Kiểm tra nút "Mua ngay" khi chưa chọn sản phẩm nào.</t>
  </si>
  <si>
    <t>1. Người dùng vào giỏ hàng.
2. Ấn vào nút "Mua ngay"</t>
  </si>
  <si>
    <t>1. Nút "Mua ngay" bị vô hiệu hóa không thể ấn được.
2. Nền màu xám nhạt, chữ màu xám đậm.</t>
  </si>
  <si>
    <t>Kiểm tra việc hiển thị nút "Mua ngay" khi đã chọn sản phẩm.</t>
  </si>
  <si>
    <t xml:space="preserve">1. Người dùng vào giỏ hàng.
2. Ấn chọn một sản phẩm bất kỳ.
</t>
  </si>
  <si>
    <t>1.Nút mua ngay có nền màu đỏ chữ màu trắng.
2. Bên cạnh chữ "Mua ngay" có hiển thị số lượng sản phẩm đã chọn.</t>
  </si>
  <si>
    <t>Kiểm tra khi hover vào nút "Mua ngay".</t>
  </si>
  <si>
    <t>Pre-condition: 
Người dùng đã chọn ít nhất một sản phẩm
Step:
1. Di chuyển chuột vào nút mua ngay
2. Quan sát.</t>
  </si>
  <si>
    <t>Kiểm tra việc hiển thị nút "Chọn mã giảm giá" ngay tại giỏ hàng.</t>
  </si>
  <si>
    <t>1. Người dùng truy cập vào giỏ hàng.
2. Quan sát.</t>
  </si>
  <si>
    <t>Phía trên nút "Mua ngay" hiển thị nút "Chọn mã giảm giá".</t>
  </si>
  <si>
    <t>Thêm sản phẩm vào giỏ hàng tại pop-up "Thêm sản phẩm nhanh".</t>
  </si>
  <si>
    <t>Kiểm tra hiển thị pop-up "Thêm sản phẩm nhanh".</t>
  </si>
  <si>
    <t>Sản phẩm được thêm vào giỏ hàng.</t>
  </si>
  <si>
    <t>Thêm sản phẩm vào giỏ hàng thành công tại màn hình [Chi tiết sản phẩm].</t>
  </si>
  <si>
    <t xml:space="preserve">Pre-condition:
Người dùng đã đăng nhập thành công vào hệ thống.
Step:
Người dùng ấn vào nút "Thêm vào giỏ" trên pop-up "Thêm sản phẩm nhanh"
</t>
  </si>
  <si>
    <t>Pre-condition:
Người dùng đã đăng nhập thành công vào hệ thống.
Step:
1. Người dùng ấn vào một sản phẩm bất kỳ để vào trang chi tiết sản phẩm.
2. Click vào button "Thêm vào giỏ".</t>
  </si>
  <si>
    <t>Pre-condition:
Người dùng đã đăng nhập thành công vào hệ thống.
1. Người dùng truy cập vào trang web Cellphones: https://cellphones.com.vn/
2. Người dùng ấn vào nút "Giỏ hàng" trên thanh header khi chưa thêm sản phẩm nào.
3. Quan sát giao diện giỏ hàng.</t>
  </si>
  <si>
    <t>Pre-condition:
Người dùng đã đăng nhập thành công vào hệ thống.
1. Ấn vào nút "Giỏ hàng" trên thanh header.
2. Quan sát giao diện</t>
  </si>
  <si>
    <t>Pre-condition: 
Người dùng chưa điều chỉnh số lượng.
Người dùng đã đăng nhập thành công vào hệ thống.
Step:
1. Ấn vào nút "Giỏ hàng" trên thanh header.
2. Quan sát ô "nhập số lượng".</t>
  </si>
  <si>
    <t>Thêm sản phẩm vào giỏ hàng khi chưa đăng nhập.</t>
  </si>
  <si>
    <t>1. Người dùng ấn vào button "Thêm vào giỏ".
2. Quan sát.</t>
  </si>
  <si>
    <t>1. Người dùng ấn vào nút "Giỏ hàng" trên thanh header.
2. Quan sát.</t>
  </si>
  <si>
    <t>Giỏ hàng hiển thị danh sách các sản phẩm đã được thêm vào giỏ.</t>
  </si>
  <si>
    <t>Xem giỏ hàng khi chưa đăng nhập.</t>
  </si>
  <si>
    <t>Hệ thống hiển thị pop-up thông báo: "Vui lòng đăng nhập tài khoản Smember để xem ưu đãi và thanh toán dễ dàng hơn".</t>
  </si>
  <si>
    <t xml:space="preserve">Hệ thống hiển thị pop-up thông báo: "Vui lòng đăng nhập tài khoản Smember để xem ưu đãi và thanh toán dễ dàng hơn". </t>
  </si>
  <si>
    <t>Pre-condition:
Người dùng đã đăng nhập thành công vào hệ thống.
Step:
1. Ấn vào nút "Giỏ hàng" trên thanh header.
2. Quan sát giao diện</t>
  </si>
  <si>
    <t>Pre-condition:
Người dùng đã đăng nhập thành công vào hệ thống.
1. Người dùng ấn vào nút "Giỏ hàng" trên thanh header.
2. Quan sát.</t>
  </si>
  <si>
    <t>Xem giỏ hàng khi đã đăng nhập thành công.</t>
  </si>
  <si>
    <t>Thêm sản phẩm đã tồn tại trong giỏ hàng.</t>
  </si>
  <si>
    <t>Cart_FU_</t>
  </si>
  <si>
    <t>Sản phẩm được thêm vào giỏ hàng.
Hiển thị thông báo: "Thêm vào giỏ hàng thành công".</t>
  </si>
  <si>
    <t>Sản phẩm đó trong giỏ tăng lên 1 chứ không tách riêng thành 2 dòng sản phẩm trong giỏ hàng.</t>
  </si>
  <si>
    <t>Thêm sản phẩm khi sản phẩm đó hết hàng.</t>
  </si>
  <si>
    <t>Pre-condition:
Người dùng đã đăng nhập thành công vào hệ thống.
Step:
Người dùng ấn vào nút "Thêm vào giỏ".</t>
  </si>
  <si>
    <t>Pre-condition:
Người dùng đã đăng nhập thành công vào hệ thống.
Sản phẩm hết hàng
Step:
Người dùng ấn vào nút "Thêm sản phẩm".</t>
  </si>
  <si>
    <t>Nút sản phẩm bị vô hiệu hóa  không thể ấn thêm sản phẩm, thêm sản phẩm vào giỏ hàng thất bại.</t>
  </si>
  <si>
    <t>Chọn tất cả sản phẩm trong giỏ hàng.</t>
  </si>
  <si>
    <t>1. Người dùng ấn checkbox "Chọn tất cả" trong giỏ hàng.
2. Quan sát.</t>
  </si>
  <si>
    <t>Tất cả sản phẩm trong giỏ hàng đều được chọn.</t>
  </si>
  <si>
    <t>Chọn sản phẩm trong giỏ hàng khi sản phẩm đó đã hết sau khi thêm vào giỏ.</t>
  </si>
  <si>
    <t>Pre-condition:
Sản phẩm hết hàng sau khi thêm vào giỏ.
Step: 
Người dùng ấn vào checkbox chọn sản phẩm đã hết hàng.</t>
  </si>
  <si>
    <t>Không thể ấn chọn vì sản phẩm đó bị vô hiệu hóa.</t>
  </si>
  <si>
    <t>1. Ấn vào một sản phẩm bất kỳ để vào trang chi tiết sản phẩm.
2. Ấn vào button [+].</t>
  </si>
  <si>
    <t>Ô số lượng sản phẩm sẽ tăng lên 1 cho mỗi lần ấn.</t>
  </si>
  <si>
    <t>Ấn vào button [+] tại mỗi sản phẩm trong giỏ hàng.</t>
  </si>
  <si>
    <t>Giảm số lượng sản phẩm tại màn hình [Chi tiết sản phẩm].</t>
  </si>
  <si>
    <t>1. Ấn vào một sản phẩm bất kỳ để vào trang chi tiết sản phẩm.
2. Ấn vào button [-].</t>
  </si>
  <si>
    <t>Ô số lượng sản phẩm sẽ tăng lên 1 đơn vị cho mỗi lần ấn.</t>
  </si>
  <si>
    <t>Ô số lượng sản phẩm sẽ giảm xuống 1 đơn vị cho mỗi lần ấn.</t>
  </si>
  <si>
    <t>Tăng số lượng sản phẩm tại màn hình [Chi tiết sản phẩm].</t>
  </si>
  <si>
    <t>Tăng số lượng sản phẩm tại  giỏ hàng.</t>
  </si>
  <si>
    <t>Giảm số lượng sản phẩm tại  giỏ hàng.</t>
  </si>
  <si>
    <t>Ấn vào button [-] tại mỗi sản phẩm trong giỏ hàng.</t>
  </si>
  <si>
    <t>Nhập số lượng thành công vào ô [Nhập số lượng]</t>
  </si>
  <si>
    <t>Giảm số lượng khi số lượng đang bằng 1.</t>
  </si>
  <si>
    <t>1. Ấn vào button [-] tại sản phẩm trong giỏ hàng cho tới khi số lượng =1.
2. Ấn button [-] thêm một lần nữa.</t>
  </si>
  <si>
    <t>Hiển thi pop-up [Thông báo xác nhận xóa sản phẩm]</t>
  </si>
  <si>
    <t>Pre-condition:
Số lượng thêm còn đủ trong kho.
1. Click vào ô [Nhập số lượng] trên mỗi sản phẩm trong giỏ hàng.
2. Điền số nguyên dương vào ô nhập số lượng.</t>
  </si>
  <si>
    <t>Ô số lượng sẽ hiển thị đúng số lượng người dùng nhập.</t>
  </si>
  <si>
    <t>Nhập số 0 vào ô [Nhập số lượng]</t>
  </si>
  <si>
    <t>1. Click vào ô [Nhập số lượng] trên mỗi sản phẩm trong giỏ hàng.
2. Điền số 0 vào ô số lượng.</t>
  </si>
  <si>
    <t>Nhập số âm vào ô [Nhập số lượng]</t>
  </si>
  <si>
    <t>1. Click vào ô [Nhập số lượng] trên mỗi sản phẩm trong giỏ hàng.
2. Điền số âm vào ô số lượng.</t>
  </si>
  <si>
    <t>Hiển thi pop-up [Vui lòng nhập đúng định dạng số nguyên dương].</t>
  </si>
  <si>
    <t>Nhập văn bản, ký tự không hợp lệ vào ô [Nhập số lượng]</t>
  </si>
  <si>
    <t>1. Click vào ô [Nhập số lượng] trên mỗi sản phẩm trong giỏ hàng.
2. Điền văn bản hoặc ký tự không hợp lệ.</t>
  </si>
  <si>
    <t>Nhập vào ô [Nhập số lượng] với dạng hình ảnh.</t>
  </si>
  <si>
    <t>1. Click vào ô [Nhập số lượng] trên mỗi sản phẩm trong giỏ hàng.
2. Dán hình ảnh vào.</t>
  </si>
  <si>
    <t>Nhập số lượng vượt quá số sản phẩm còn trong kho.</t>
  </si>
  <si>
    <t>1. Click vào ô [Nhập số lượng] trên mỗi sản phẩm trong giỏ hàng.
2. Nhập số lượng lớn( vượt quá sản phẩm trong kho).</t>
  </si>
  <si>
    <t>Hiển thi pop-up [Số lượng sản phẩm trong kho còn...], cập nhật lại ô số lượng sản phẩm là số sản phẩm còn trong kho.</t>
  </si>
  <si>
    <t>Nhập số lượng vượt quá số lượng được mua tối đa của sản phẩm trong 1 lần.</t>
  </si>
  <si>
    <t>1. Click vào ô [Nhập số lượng] trên mỗi sản phẩm trong giỏ hàng.
2. Nhập số lượng lớn( vượt quá số lượng được mua tối đa của sản phẩm trong 1 lần).</t>
  </si>
  <si>
    <t>Hiển thị pop-up thông báo [Số lượng sản phẩm đã đạt đến mức tối đa] như mô tả trong SRS.</t>
  </si>
  <si>
    <t>Xóa số lượng trong ô nhập số lượng.</t>
  </si>
  <si>
    <t xml:space="preserve">1. Click vào ô [Nhập số lượng] trên mỗi sản phẩm trong giỏ hàng.
2. Đưa con trỏ chuột vào sau số lượng rồi ấn phím "Backspace".
3. Ấn Enter hoặc click chuột ra chỗ khác trong màn hình.
</t>
  </si>
  <si>
    <t>Hiển thị pop-up thông báo [Vui lòng nhập số lượng]  và cập nhật lại số lượng trước khi xóa.</t>
  </si>
  <si>
    <t>Xóa sản phẩm thành công.</t>
  </si>
  <si>
    <t>Kiểm tra giao diện khi hover vào biểu tượng [Xóa].</t>
  </si>
  <si>
    <t>1. Di chuyển chuột vào biểu tượng [Xóa].
2. Quan sát giao diện.</t>
  </si>
  <si>
    <t>1. Biểu tượng [Xóa] chuyển thành màu đỏ. 
2. Con trỏ chuột chuyển thành hand on mouse (bàn tay).</t>
  </si>
  <si>
    <t>Kiểm tra việc hover vào biểu tượng [Xóa].</t>
  </si>
  <si>
    <t>1. Người dùng di chuyển chuột vào biểu tượng [Xóa] trên mỗi sản phẩm trong giỏ hàng.
2. Quan sát.</t>
  </si>
  <si>
    <t>Xóa sản phẩm không thành công.</t>
  </si>
  <si>
    <t xml:space="preserve">Sản phẩm được xóa thành công khỏi giỏ hàng.
Thông báo: "Xóa sản phẩm khỏi giỏ hàng thành công".
</t>
  </si>
  <si>
    <t>1. Click vào biểu tượng [Xóa] trên mỗi sản phẩm trong giỏ hàng.
2. Hệ thống hiển thị pop-up thông báo [Xác nhận xóa sản phẩm khỏi giỏ hàng].
3. Người dùng ấn vào button "Xác nhận".</t>
  </si>
  <si>
    <t>1. Click vào biểu tượng [Xóa] trên mỗi sản phẩm trong giỏ hàng.
2. Hệ thống hiển thị pop-up thông báo [Xác nhận xóa sản phẩm khỏi giỏ hàng].
3. Người dùng ấn vào button "Hủy".</t>
  </si>
  <si>
    <t>Sản phẩm được giữ nguyên trong giỏ hàng.
.</t>
  </si>
  <si>
    <t>Xóa sản phẩm thành công khi ấn button "Xóa sản phẩm đã chọn".</t>
  </si>
  <si>
    <t>1. Click vào checkbox của những sản phẩm muốn xóa.
2. Ấn button "Xóa sản phẩm đã chọn".
3. Hệ thống hiển thị pop-up thông báo [Xác nhận xóa...sản phẩm khỏi giỏ hàng] (... Là số lượng sản phẩm đã chọn.
3. Người dùng ấn vào button "Xác nhận".</t>
  </si>
  <si>
    <t>Những sản phẩm đã chọn được xóa khỏi giỏ hàng.</t>
  </si>
  <si>
    <t>Xóa sản phẩm không thành công khi ấn button "Xóa sản phẩm đã chọn".</t>
  </si>
  <si>
    <t>1. Click vào checkbox của những sản phẩm muốn xóa.
2. Ấn button "Xóa sản phẩm đã chọn".
3. Hệ thống hiển thị pop-up thông báo [Xác nhận xóa...sản phẩm khỏi giỏ hàng] (... Là số lượng sản phẩm đã chọn.
3. Người dùng ấn vào button "Hủy".</t>
  </si>
  <si>
    <t>Những sản phẩm đã chọn được giữ nguyên trong giỏ hàng.</t>
  </si>
  <si>
    <t>Cập nhật ô [Số tiền] khi tăng, giảm số lượng sản phẩm.</t>
  </si>
  <si>
    <t>1. Ấn vào nút [+] [-] hoặc nhập vào ô [Nhập số lượng].
2. Quan sát.</t>
  </si>
  <si>
    <t>1. Ấn vào checkbox để chọn sản phẩm.
2. Ấn vào [+] [-] hoặc nhập vào ô [Nhập số lượng].</t>
  </si>
  <si>
    <t xml:space="preserve">Cập nhật tổng tiền "Tạm tính" mỗi lần chọn thêm sản phẩm trong giỏ. </t>
  </si>
  <si>
    <t>1. Ấn vào checkbox để chọn sản phẩm.
2. Tiếp tục ấn chọn sản phẩm khác.</t>
  </si>
  <si>
    <t>Cập nhật tổng tiền "Tạm tính" trong giỏ hàng khi tăng, giảm số lượng sản phẩm.</t>
  </si>
  <si>
    <t>Ô [Số tiền] sẽ cập nhật tương ứng.</t>
  </si>
  <si>
    <t>Chọn biến thể( Màu sắc, kích thước) trong giỏ hàng.</t>
  </si>
  <si>
    <t>1. Truy cập vào màn hình giỏ hàng.
2. Ấn lựa chọn các biến thể trên mỗi sản phẩm.</t>
  </si>
  <si>
    <t>Biến thể được đổi ngay trong giỏ hàng.</t>
  </si>
  <si>
    <t>Cập nhật số tiền khi đổi biến thể ( Màu sắc, kích thước).</t>
  </si>
  <si>
    <t>1. Ấn đổi biến thể trên mỗi sản phẩm trong giỏ hàng.</t>
  </si>
  <si>
    <t>Ô tổng tiền tiền "Tạm tính" sẽ cập nhật tương ứng.</t>
  </si>
  <si>
    <t>Ô tổng tiền "Tạm tính" sẽ cập nhật tương ứng.</t>
  </si>
  <si>
    <t>Ô tổng tiền "Tạm tính" và ô [Số tiền] sẽ cập nhật tương ứng.</t>
  </si>
  <si>
    <t>Cập nhật giá khi chọn gói bảo hành.</t>
  </si>
  <si>
    <t>1. Ấn vào button "chọn gói" trên mỗi sản phẩm trong giỏ hàng.
2. Ấn lựa chọn gói bảo hành bất kỳ.</t>
  </si>
  <si>
    <t>Cập nhật giá tiền khi chọn mã giảm giá thành công</t>
  </si>
  <si>
    <t>Ô tổng tiền "Tạm tính" sẽ trừ đi số tiền khuyến mãi.</t>
  </si>
  <si>
    <t>Cập nhật giá tiền khi nhập đúng mã khuyến mãi.</t>
  </si>
  <si>
    <t>1. Ấn vào button "Chọn mã giảm giá".
2. Ấn vào mã giảm giá muốn chọn.
3. Ấn nút "áp dụng".</t>
  </si>
  <si>
    <t>Nhập sai mã giảm giá</t>
  </si>
  <si>
    <t>1. Ấn vào button "Chọn mã giảm giá".
2. Nhập mã giảm giá đúng vào ô [Nhập mã giảm].
3. Ấn nút "áp dụng".</t>
  </si>
  <si>
    <t xml:space="preserve">1. Ấn vào button "Chọn mã giảm giá".
2. Nhập mã giảm giá không đúng vào ô [Nhập mã giảm].
</t>
  </si>
  <si>
    <t>Hệ thống hiển thị: " Mã giảm giá không đúng".</t>
  </si>
  <si>
    <t>Dán hình ảnh vào ô [Nhập mã giảm giá].</t>
  </si>
  <si>
    <t>1. Ấn vào button "Chọn mã giảm giá".
2. Dán hình ảnh.</t>
  </si>
  <si>
    <t>Hệ thống thông báo: "Vui lòng nhập đúng định dạng mã giảm".</t>
  </si>
  <si>
    <t>Huỳnh Thị Mai Phương</t>
  </si>
  <si>
    <t>Note:</t>
  </si>
  <si>
    <t>: ID test UI</t>
  </si>
  <si>
    <t>:ID test Function</t>
  </si>
  <si>
    <t xml:space="preserve">Giỏ hàng </t>
  </si>
  <si>
    <t>Giỏ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</si>
</sst>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18">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sz val="10"/>
      <color theme="1"/>
      <name val="Calibri"/>
    </font>
    <font>
      <sz val="10"/>
      <color rgb="FF000000"/>
      <name val="Tahoma"/>
    </font>
    <font>
      <sz val="10"/>
      <color rgb="FFFF0000"/>
      <name val="Tahoma"/>
    </font>
    <font>
      <sz val="10"/>
      <color rgb="FFFFFFFF"/>
      <name val="Tahoma"/>
    </font>
    <font>
      <b/>
      <sz val="10"/>
      <color rgb="FF0000FF"/>
      <name val="Tahoma"/>
    </font>
  </fonts>
  <fills count="5">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s>
  <borders count="4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139">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4" fillId="2" borderId="25" xfId="0" applyFont="1" applyFill="1" applyBorder="1"/>
    <xf numFmtId="0" fontId="14" fillId="2" borderId="1" xfId="0" applyFont="1" applyFill="1" applyBorder="1" applyAlignment="1">
      <alignment wrapText="1"/>
    </xf>
    <xf numFmtId="0" fontId="10" fillId="2" borderId="1" xfId="0" applyFont="1" applyFill="1" applyBorder="1" applyAlignment="1">
      <alignment wrapText="1"/>
    </xf>
    <xf numFmtId="0" fontId="15" fillId="2" borderId="1" xfId="0" applyFont="1" applyFill="1" applyBorder="1" applyAlignment="1">
      <alignment wrapText="1"/>
    </xf>
    <xf numFmtId="0" fontId="14" fillId="2" borderId="1" xfId="0" applyFont="1" applyFill="1" applyBorder="1"/>
    <xf numFmtId="0" fontId="10" fillId="2" borderId="26" xfId="0" applyFont="1" applyFill="1" applyBorder="1" applyAlignment="1">
      <alignment horizontal="left" wrapText="1"/>
    </xf>
    <xf numFmtId="0" fontId="10" fillId="2" borderId="27" xfId="0" applyFont="1" applyFill="1" applyBorder="1" applyAlignment="1">
      <alignment horizontal="left" wrapText="1"/>
    </xf>
    <xf numFmtId="0" fontId="8" fillId="2" borderId="27"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5" fillId="2" borderId="1" xfId="0" applyFont="1" applyFill="1" applyBorder="1" applyAlignment="1">
      <alignment horizontal="center" wrapText="1"/>
    </xf>
    <xf numFmtId="0" fontId="14" fillId="2" borderId="28"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5" xfId="0" applyFont="1" applyFill="1" applyBorder="1" applyAlignment="1">
      <alignment vertical="center" wrapText="1"/>
    </xf>
    <xf numFmtId="0" fontId="14"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3" xfId="0" applyFont="1" applyFill="1" applyBorder="1" applyAlignment="1">
      <alignment vertical="top" wrapText="1"/>
    </xf>
    <xf numFmtId="0" fontId="13" fillId="0" borderId="5" xfId="0" applyFont="1" applyBorder="1" applyAlignment="1">
      <alignment horizontal="left" vertical="top" wrapText="1"/>
    </xf>
    <xf numFmtId="0" fontId="1" fillId="2" borderId="5" xfId="0" applyFont="1" applyFill="1" applyBorder="1" applyAlignment="1">
      <alignment vertical="top" wrapText="1"/>
    </xf>
    <xf numFmtId="14" fontId="1" fillId="2" borderId="5" xfId="0" applyNumberFormat="1" applyFont="1" applyFill="1" applyBorder="1" applyAlignment="1">
      <alignment vertical="top" wrapText="1"/>
    </xf>
    <xf numFmtId="0" fontId="1" fillId="2" borderId="34" xfId="0" applyFont="1" applyFill="1" applyBorder="1" applyAlignment="1">
      <alignment vertical="top" wrapText="1"/>
    </xf>
    <xf numFmtId="0" fontId="15" fillId="2" borderId="1" xfId="0" applyFont="1" applyFill="1" applyBorder="1" applyAlignment="1">
      <alignment vertical="top" wrapText="1"/>
    </xf>
    <xf numFmtId="0" fontId="9" fillId="2" borderId="1" xfId="0" applyFont="1" applyFill="1" applyBorder="1" applyAlignment="1">
      <alignment horizontal="left" vertical="center"/>
    </xf>
    <xf numFmtId="0" fontId="1" fillId="2" borderId="34" xfId="0" applyFont="1" applyFill="1" applyBorder="1"/>
    <xf numFmtId="0" fontId="15" fillId="2" borderId="1" xfId="0" applyFont="1" applyFill="1" applyBorder="1"/>
    <xf numFmtId="0" fontId="10" fillId="2" borderId="1" xfId="0" applyFont="1" applyFill="1" applyBorder="1"/>
    <xf numFmtId="15" fontId="1" fillId="2" borderId="1" xfId="0" applyNumberFormat="1" applyFont="1" applyFill="1" applyBorder="1"/>
    <xf numFmtId="0" fontId="5" fillId="2" borderId="5" xfId="0" applyFont="1" applyFill="1" applyBorder="1" applyAlignment="1">
      <alignment horizontal="left" vertical="center"/>
    </xf>
    <xf numFmtId="0" fontId="5" fillId="2" borderId="33" xfId="0" applyFont="1" applyFill="1" applyBorder="1" applyAlignment="1">
      <alignment horizontal="left"/>
    </xf>
    <xf numFmtId="0" fontId="1" fillId="2" borderId="33" xfId="0" applyFont="1" applyFill="1" applyBorder="1" applyAlignment="1">
      <alignment vertical="top"/>
    </xf>
    <xf numFmtId="0" fontId="5" fillId="2" borderId="5" xfId="0" applyFont="1" applyFill="1" applyBorder="1" applyAlignment="1">
      <alignment vertical="center"/>
    </xf>
    <xf numFmtId="14" fontId="5" fillId="2" borderId="33" xfId="0" applyNumberFormat="1" applyFont="1" applyFill="1" applyBorder="1" applyAlignment="1">
      <alignment horizontal="left"/>
    </xf>
    <xf numFmtId="0" fontId="6" fillId="2" borderId="33" xfId="0" applyFont="1" applyFill="1" applyBorder="1" applyAlignment="1">
      <alignment vertical="top"/>
    </xf>
    <xf numFmtId="0" fontId="6" fillId="2" borderId="1" xfId="0" applyFont="1" applyFill="1" applyBorder="1"/>
    <xf numFmtId="0" fontId="1" fillId="2" borderId="38" xfId="0" applyFont="1" applyFill="1" applyBorder="1"/>
    <xf numFmtId="0" fontId="7" fillId="3" borderId="39"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0" xfId="0" applyFont="1" applyFill="1" applyBorder="1" applyAlignment="1">
      <alignment horizontal="center" wrapText="1"/>
    </xf>
    <xf numFmtId="0" fontId="1" fillId="2" borderId="41"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2" xfId="0" applyFont="1" applyFill="1" applyBorder="1" applyAlignment="1">
      <alignment horizontal="center"/>
    </xf>
    <xf numFmtId="0" fontId="1" fillId="2" borderId="43" xfId="0" applyFont="1" applyFill="1" applyBorder="1" applyAlignment="1">
      <alignment horizontal="center"/>
    </xf>
    <xf numFmtId="0" fontId="16" fillId="3" borderId="44" xfId="0" applyFont="1" applyFill="1" applyBorder="1" applyAlignment="1">
      <alignment horizontal="center"/>
    </xf>
    <xf numFmtId="0" fontId="7" fillId="3" borderId="21" xfId="0" applyFont="1" applyFill="1" applyBorder="1"/>
    <xf numFmtId="0" fontId="16" fillId="3" borderId="21" xfId="0" applyFont="1" applyFill="1" applyBorder="1" applyAlignment="1">
      <alignment horizontal="center"/>
    </xf>
    <xf numFmtId="0" fontId="16" fillId="3" borderId="45"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7" fillId="2" borderId="1" xfId="0" applyNumberFormat="1" applyFont="1" applyFill="1" applyBorder="1" applyAlignment="1">
      <alignment horizontal="right"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5" xfId="0" applyFont="1" applyFill="1" applyBorder="1" applyAlignment="1">
      <alignment horizontal="center"/>
    </xf>
    <xf numFmtId="0" fontId="4" fillId="0" borderId="36" xfId="0" applyFont="1" applyBorder="1"/>
    <xf numFmtId="0" fontId="4" fillId="0" borderId="37" xfId="0" applyFont="1" applyBorder="1"/>
    <xf numFmtId="0" fontId="15" fillId="2" borderId="37" xfId="0" applyFont="1" applyFill="1" applyBorder="1"/>
    <xf numFmtId="0" fontId="1" fillId="2" borderId="37" xfId="0" applyFont="1" applyFill="1" applyBorder="1"/>
  </cellXfs>
  <cellStyles count="1">
    <cellStyle name="Normal" xfId="0" builtinId="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H69">
  <tableColumns count="8">
    <tableColumn id="1" xr3:uid="{00000000-0010-0000-0100-000001000000}" name="ID"/>
    <tableColumn id="2" xr3:uid="{00000000-0010-0000-0100-000002000000}" name="Test Case Description"/>
    <tableColumn id="3" xr3:uid="{00000000-0010-0000-0100-000003000000}" name="Test Case Procedure"/>
    <tableColumn id="4" xr3:uid="{00000000-0010-0000-0100-000004000000}" name="Expected Output"/>
    <tableColumn id="5" xr3:uid="{00000000-0010-0000-0100-000005000000}" name="Inter-test case Dependence"/>
    <tableColumn id="6" xr3:uid="{00000000-0010-0000-0100-000006000000}" name="Result"/>
    <tableColumn id="7" xr3:uid="{00000000-0010-0000-0100-000007000000}" name="Test date"/>
    <tableColumn id="8" xr3:uid="{00000000-0010-0000-0100-000008000000}"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15" sqref="G15"/>
    </sheetView>
  </sheetViews>
  <sheetFormatPr defaultColWidth="14.44140625" defaultRowHeight="15" customHeight="1"/>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13" t="s">
        <v>0</v>
      </c>
      <c r="C2" s="114"/>
      <c r="D2" s="114"/>
      <c r="E2" s="114"/>
      <c r="F2" s="114"/>
      <c r="G2" s="115"/>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16" t="s">
        <v>2</v>
      </c>
      <c r="D4" s="114"/>
      <c r="E4" s="115"/>
      <c r="F4" s="8" t="s">
        <v>3</v>
      </c>
      <c r="G4" s="9" t="s">
        <v>233</v>
      </c>
      <c r="H4" s="1"/>
      <c r="I4" s="1"/>
      <c r="J4" s="1"/>
      <c r="K4" s="1"/>
      <c r="L4" s="1"/>
      <c r="M4" s="1"/>
      <c r="N4" s="1"/>
      <c r="O4" s="1"/>
      <c r="P4" s="1"/>
      <c r="Q4" s="1"/>
      <c r="R4" s="1"/>
      <c r="S4" s="1"/>
      <c r="T4" s="1"/>
      <c r="U4" s="1"/>
      <c r="V4" s="1"/>
      <c r="W4" s="1"/>
      <c r="X4" s="1"/>
      <c r="Y4" s="1"/>
      <c r="Z4" s="1"/>
    </row>
    <row r="5" spans="1:26" ht="14.25" customHeight="1">
      <c r="A5" s="1"/>
      <c r="B5" s="8" t="s">
        <v>4</v>
      </c>
      <c r="C5" s="116" t="s">
        <v>2</v>
      </c>
      <c r="D5" s="114"/>
      <c r="E5" s="115"/>
      <c r="F5" s="8" t="s">
        <v>5</v>
      </c>
      <c r="G5" s="9"/>
      <c r="H5" s="1"/>
      <c r="I5" s="1"/>
      <c r="J5" s="1"/>
      <c r="K5" s="1"/>
      <c r="L5" s="1"/>
      <c r="M5" s="1"/>
      <c r="N5" s="1"/>
      <c r="O5" s="1"/>
      <c r="P5" s="1"/>
      <c r="Q5" s="1"/>
      <c r="R5" s="1"/>
      <c r="S5" s="1"/>
      <c r="T5" s="1"/>
      <c r="U5" s="1"/>
      <c r="V5" s="1"/>
      <c r="W5" s="1"/>
      <c r="X5" s="1"/>
      <c r="Y5" s="1"/>
      <c r="Z5" s="1"/>
    </row>
    <row r="6" spans="1:26" ht="15.75" customHeight="1">
      <c r="A6" s="1"/>
      <c r="B6" s="117" t="s">
        <v>7</v>
      </c>
      <c r="C6" s="119" t="str">
        <f>C5&amp;"_TestCase_V0.1"</f>
        <v>AB-SD_TestCase_V0.1</v>
      </c>
      <c r="D6" s="120"/>
      <c r="E6" s="121"/>
      <c r="F6" s="8" t="s">
        <v>8</v>
      </c>
      <c r="G6" s="10">
        <v>45633</v>
      </c>
      <c r="H6" s="1"/>
      <c r="I6" s="1"/>
      <c r="J6" s="1"/>
      <c r="K6" s="1"/>
      <c r="L6" s="1"/>
      <c r="M6" s="1"/>
      <c r="N6" s="1"/>
      <c r="O6" s="1"/>
      <c r="P6" s="1"/>
      <c r="Q6" s="1"/>
      <c r="R6" s="1"/>
      <c r="S6" s="1"/>
      <c r="T6" s="1"/>
      <c r="U6" s="1"/>
      <c r="V6" s="1"/>
      <c r="W6" s="1"/>
      <c r="X6" s="1"/>
      <c r="Y6" s="1"/>
      <c r="Z6" s="1"/>
    </row>
    <row r="7" spans="1:26" ht="13.5" customHeight="1">
      <c r="A7" s="1"/>
      <c r="B7" s="118"/>
      <c r="C7" s="122"/>
      <c r="D7" s="123"/>
      <c r="E7" s="124"/>
      <c r="F7" s="8" t="s">
        <v>9</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11</v>
      </c>
      <c r="C11" s="16" t="s">
        <v>9</v>
      </c>
      <c r="D11" s="16" t="s">
        <v>12</v>
      </c>
      <c r="E11" s="16" t="s">
        <v>13</v>
      </c>
      <c r="F11" s="16" t="s">
        <v>14</v>
      </c>
      <c r="G11" s="17" t="s">
        <v>15</v>
      </c>
      <c r="H11" s="14"/>
      <c r="I11" s="14"/>
      <c r="J11" s="14"/>
      <c r="K11" s="14"/>
      <c r="L11" s="14"/>
      <c r="M11" s="14"/>
      <c r="N11" s="14"/>
      <c r="O11" s="14"/>
      <c r="P11" s="14"/>
      <c r="Q11" s="14"/>
      <c r="R11" s="14"/>
      <c r="S11" s="14"/>
      <c r="T11" s="14"/>
      <c r="U11" s="14"/>
      <c r="V11" s="14"/>
      <c r="W11" s="14"/>
      <c r="X11" s="14"/>
      <c r="Y11" s="14"/>
      <c r="Z11" s="14"/>
    </row>
    <row r="12" spans="1:26" ht="25.5" customHeight="1">
      <c r="A12" s="18"/>
      <c r="B12" s="19">
        <v>45633</v>
      </c>
      <c r="C12" s="20" t="s">
        <v>16</v>
      </c>
      <c r="D12" s="18"/>
      <c r="E12" s="21" t="s">
        <v>17</v>
      </c>
      <c r="F12" s="21" t="s">
        <v>18</v>
      </c>
      <c r="G12" s="22" t="s">
        <v>19</v>
      </c>
      <c r="H12" s="18"/>
      <c r="I12" s="18"/>
      <c r="J12" s="18"/>
      <c r="K12" s="18"/>
      <c r="L12" s="18"/>
      <c r="M12" s="18"/>
      <c r="N12" s="18"/>
      <c r="O12" s="18"/>
      <c r="P12" s="18"/>
      <c r="Q12" s="18"/>
      <c r="R12" s="18"/>
      <c r="S12" s="18"/>
      <c r="T12" s="18"/>
      <c r="U12" s="18"/>
      <c r="V12" s="18"/>
      <c r="W12" s="18"/>
      <c r="X12" s="18"/>
      <c r="Y12" s="18"/>
      <c r="Z12" s="18"/>
    </row>
    <row r="13" spans="1:26" ht="21.75" customHeight="1">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24" sqref="E24"/>
    </sheetView>
  </sheetViews>
  <sheetFormatPr defaultColWidth="14.44140625" defaultRowHeight="15" customHeight="1"/>
  <cols>
    <col min="1" max="1" width="1.5546875" customWidth="1"/>
    <col min="2" max="2" width="13.44140625" customWidth="1"/>
    <col min="3" max="3" width="30.33203125" customWidth="1"/>
    <col min="4" max="4" width="19.5546875" customWidth="1"/>
    <col min="5" max="5" width="32.109375" customWidth="1"/>
    <col min="6" max="6" width="35" customWidth="1"/>
    <col min="7" max="26" width="9.109375" customWidth="1"/>
  </cols>
  <sheetData>
    <row r="1" spans="1:26" ht="25.5" customHeight="1">
      <c r="A1" s="7"/>
      <c r="B1" s="29"/>
      <c r="C1" s="30"/>
      <c r="D1" s="31" t="s">
        <v>20</v>
      </c>
      <c r="E1" s="32"/>
      <c r="F1" s="30"/>
      <c r="G1" s="7"/>
      <c r="H1" s="7"/>
      <c r="I1" s="7"/>
      <c r="J1" s="7"/>
      <c r="K1" s="7"/>
      <c r="L1" s="7"/>
      <c r="M1" s="7"/>
      <c r="N1" s="7"/>
      <c r="O1" s="7"/>
      <c r="P1" s="7"/>
      <c r="Q1" s="7"/>
      <c r="R1" s="7"/>
      <c r="S1" s="7"/>
      <c r="T1" s="7"/>
      <c r="U1" s="7"/>
      <c r="V1" s="7"/>
      <c r="W1" s="7"/>
      <c r="X1" s="7"/>
      <c r="Y1" s="7"/>
      <c r="Z1" s="7"/>
    </row>
    <row r="2" spans="1:26" ht="13.5" customHeight="1">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c r="A3" s="7"/>
      <c r="B3" s="125" t="s">
        <v>1</v>
      </c>
      <c r="C3" s="126"/>
      <c r="D3" s="127" t="str">
        <f>Cover!C4</f>
        <v>AB-SD</v>
      </c>
      <c r="E3" s="114"/>
      <c r="F3" s="115"/>
      <c r="G3" s="7"/>
      <c r="H3" s="7"/>
      <c r="I3" s="7"/>
      <c r="J3" s="7"/>
      <c r="K3" s="7"/>
      <c r="L3" s="7"/>
      <c r="M3" s="7"/>
      <c r="N3" s="7"/>
      <c r="O3" s="7"/>
      <c r="P3" s="7"/>
      <c r="Q3" s="7"/>
      <c r="R3" s="7"/>
      <c r="S3" s="7"/>
      <c r="T3" s="7"/>
      <c r="U3" s="7"/>
      <c r="V3" s="7"/>
      <c r="W3" s="7"/>
      <c r="X3" s="7"/>
      <c r="Y3" s="7"/>
      <c r="Z3" s="7"/>
    </row>
    <row r="4" spans="1:26" ht="12.75" customHeight="1">
      <c r="A4" s="7"/>
      <c r="B4" s="125" t="s">
        <v>4</v>
      </c>
      <c r="C4" s="126"/>
      <c r="D4" s="127" t="str">
        <f>Cover!C5</f>
        <v>AB-SD</v>
      </c>
      <c r="E4" s="114"/>
      <c r="F4" s="115"/>
      <c r="G4" s="7"/>
      <c r="H4" s="7"/>
      <c r="I4" s="7"/>
      <c r="J4" s="7"/>
      <c r="K4" s="7"/>
      <c r="L4" s="7"/>
      <c r="M4" s="7"/>
      <c r="N4" s="7"/>
      <c r="O4" s="7"/>
      <c r="P4" s="7"/>
      <c r="Q4" s="7"/>
      <c r="R4" s="7"/>
      <c r="S4" s="7"/>
      <c r="T4" s="7"/>
      <c r="U4" s="7"/>
      <c r="V4" s="7"/>
      <c r="W4" s="7"/>
      <c r="X4" s="7"/>
      <c r="Y4" s="7"/>
      <c r="Z4" s="7"/>
    </row>
    <row r="5" spans="1:26" ht="84.75" customHeight="1">
      <c r="A5" s="34"/>
      <c r="B5" s="128" t="s">
        <v>21</v>
      </c>
      <c r="C5" s="115"/>
      <c r="D5" s="129" t="s">
        <v>22</v>
      </c>
      <c r="E5" s="114"/>
      <c r="F5" s="115"/>
      <c r="G5" s="34"/>
      <c r="H5" s="34"/>
      <c r="I5" s="34"/>
      <c r="J5" s="34"/>
      <c r="K5" s="34"/>
      <c r="L5" s="34"/>
      <c r="M5" s="34"/>
      <c r="N5" s="34"/>
      <c r="O5" s="34"/>
      <c r="P5" s="34"/>
      <c r="Q5" s="34"/>
      <c r="R5" s="34"/>
      <c r="S5" s="34"/>
      <c r="T5" s="34"/>
      <c r="U5" s="34"/>
      <c r="V5" s="34"/>
      <c r="W5" s="34"/>
      <c r="X5" s="34"/>
      <c r="Y5" s="34"/>
      <c r="Z5" s="34"/>
    </row>
    <row r="6" spans="1:26" ht="12.75" customHeight="1">
      <c r="A6" s="7"/>
      <c r="B6" s="35"/>
      <c r="C6" s="7"/>
      <c r="D6" s="7"/>
      <c r="E6" s="7"/>
      <c r="F6" s="7"/>
      <c r="G6" s="7"/>
      <c r="H6" s="7"/>
      <c r="I6" s="7"/>
      <c r="J6" s="7"/>
      <c r="K6" s="7"/>
      <c r="L6" s="7"/>
      <c r="M6" s="7"/>
      <c r="N6" s="7"/>
      <c r="O6" s="7"/>
      <c r="P6" s="7"/>
      <c r="Q6" s="7"/>
      <c r="R6" s="7"/>
      <c r="S6" s="7"/>
      <c r="T6" s="7"/>
      <c r="U6" s="7"/>
      <c r="V6" s="7"/>
      <c r="W6" s="7"/>
      <c r="X6" s="7"/>
      <c r="Y6" s="7"/>
      <c r="Z6" s="7"/>
    </row>
    <row r="7" spans="1:26" ht="12.75" customHeight="1">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c r="A8" s="39"/>
      <c r="B8" s="40" t="s">
        <v>23</v>
      </c>
      <c r="C8" s="41" t="s">
        <v>24</v>
      </c>
      <c r="D8" s="41" t="s">
        <v>25</v>
      </c>
      <c r="E8" s="42" t="s">
        <v>26</v>
      </c>
      <c r="F8" s="43" t="s">
        <v>27</v>
      </c>
      <c r="G8" s="39"/>
      <c r="H8" s="39"/>
      <c r="I8" s="39"/>
      <c r="J8" s="39"/>
      <c r="K8" s="39"/>
      <c r="L8" s="39"/>
      <c r="M8" s="39"/>
      <c r="N8" s="39"/>
      <c r="O8" s="39"/>
      <c r="P8" s="39"/>
      <c r="Q8" s="39"/>
      <c r="R8" s="39"/>
      <c r="S8" s="39"/>
      <c r="T8" s="39"/>
      <c r="U8" s="39"/>
      <c r="V8" s="39"/>
      <c r="W8" s="39"/>
      <c r="X8" s="39"/>
      <c r="Y8" s="39"/>
      <c r="Z8" s="39"/>
    </row>
    <row r="9" spans="1:26" ht="13.5" customHeight="1">
      <c r="A9" s="7"/>
      <c r="B9" s="44">
        <v>1</v>
      </c>
      <c r="C9" s="45" t="s">
        <v>238</v>
      </c>
      <c r="D9" s="46" t="s">
        <v>238</v>
      </c>
      <c r="E9" s="47"/>
      <c r="F9" s="48"/>
      <c r="G9" s="7"/>
      <c r="H9" s="7"/>
      <c r="I9" s="7"/>
      <c r="J9" s="7"/>
      <c r="K9" s="7"/>
      <c r="L9" s="7"/>
      <c r="M9" s="7"/>
      <c r="N9" s="7"/>
      <c r="O9" s="7"/>
      <c r="P9" s="7"/>
      <c r="Q9" s="7"/>
      <c r="R9" s="7"/>
      <c r="S9" s="7"/>
      <c r="T9" s="7"/>
      <c r="U9" s="7"/>
      <c r="V9" s="7"/>
      <c r="W9" s="7"/>
      <c r="X9" s="7"/>
      <c r="Y9" s="7"/>
      <c r="Z9" s="7"/>
    </row>
    <row r="10" spans="1:26" ht="13.5" customHeight="1">
      <c r="A10" s="7"/>
      <c r="B10" s="44"/>
      <c r="C10" s="45"/>
      <c r="D10" s="46"/>
      <c r="E10" s="47"/>
      <c r="F10" s="48"/>
      <c r="G10" s="7"/>
      <c r="H10" s="7"/>
      <c r="I10" s="7"/>
      <c r="J10" s="7"/>
      <c r="K10" s="7"/>
      <c r="L10" s="7"/>
      <c r="M10" s="7"/>
      <c r="N10" s="7"/>
      <c r="O10" s="7"/>
      <c r="P10" s="7"/>
      <c r="Q10" s="7"/>
      <c r="R10" s="7"/>
      <c r="S10" s="7"/>
      <c r="T10" s="7"/>
      <c r="U10" s="7"/>
      <c r="V10" s="7"/>
      <c r="W10" s="7"/>
      <c r="X10" s="7"/>
      <c r="Y10" s="7"/>
      <c r="Z10" s="7"/>
    </row>
    <row r="11" spans="1:26" ht="12.75" customHeight="1">
      <c r="A11" s="7"/>
      <c r="B11" s="44"/>
      <c r="C11" s="49"/>
      <c r="D11" s="47"/>
      <c r="E11" s="50"/>
      <c r="F11" s="48"/>
      <c r="G11" s="7"/>
      <c r="H11" s="7"/>
      <c r="I11" s="7"/>
      <c r="J11" s="7"/>
      <c r="K11" s="7"/>
      <c r="L11" s="7"/>
      <c r="M11" s="7"/>
      <c r="N11" s="7"/>
      <c r="O11" s="7"/>
      <c r="P11" s="7"/>
      <c r="Q11" s="7"/>
      <c r="R11" s="7"/>
      <c r="S11" s="7"/>
      <c r="T11" s="7"/>
      <c r="U11" s="7"/>
      <c r="V11" s="7"/>
      <c r="W11" s="7"/>
      <c r="X11" s="7"/>
      <c r="Y11" s="7"/>
      <c r="Z11" s="7"/>
    </row>
    <row r="12" spans="1:26" ht="12.75" customHeight="1">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c r="A13" s="7"/>
      <c r="B13" s="44"/>
      <c r="C13" s="45"/>
      <c r="D13" s="47"/>
      <c r="E13" s="47"/>
      <c r="F13" s="48"/>
      <c r="G13" s="7"/>
      <c r="H13" s="7"/>
      <c r="I13" s="7"/>
      <c r="J13" s="7"/>
      <c r="K13" s="7"/>
      <c r="L13" s="7"/>
      <c r="M13" s="7"/>
      <c r="N13" s="7"/>
      <c r="O13" s="7"/>
      <c r="P13" s="7"/>
      <c r="Q13" s="7"/>
      <c r="R13" s="7"/>
      <c r="S13" s="7"/>
      <c r="T13" s="7"/>
      <c r="U13" s="7"/>
      <c r="V13" s="7"/>
      <c r="W13" s="7"/>
      <c r="X13" s="7"/>
      <c r="Y13" s="7"/>
      <c r="Z13" s="7"/>
    </row>
    <row r="14" spans="1:26" ht="12.75" customHeight="1">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c r="A20" s="7"/>
      <c r="B20" s="44"/>
      <c r="C20" s="45"/>
      <c r="D20" s="50"/>
      <c r="E20" s="50"/>
      <c r="F20" s="48"/>
      <c r="G20" s="7"/>
      <c r="H20" s="7"/>
      <c r="I20" s="7"/>
      <c r="J20" s="7"/>
      <c r="K20" s="7"/>
      <c r="L20" s="7"/>
      <c r="M20" s="7"/>
      <c r="N20" s="7"/>
      <c r="O20" s="7"/>
      <c r="P20" s="7"/>
      <c r="Q20" s="7"/>
      <c r="R20" s="7"/>
      <c r="S20" s="7"/>
      <c r="T20" s="7"/>
      <c r="U20" s="7"/>
      <c r="V20" s="7"/>
      <c r="W20" s="7"/>
      <c r="X20" s="7"/>
      <c r="Y20" s="7"/>
      <c r="Z20" s="7"/>
    </row>
    <row r="21" spans="1:26" ht="12.75" customHeight="1">
      <c r="A21" s="7"/>
      <c r="B21" s="51"/>
      <c r="C21" s="52"/>
      <c r="D21" s="53"/>
      <c r="E21" s="53"/>
      <c r="F21" s="54"/>
      <c r="G21" s="7"/>
      <c r="H21" s="7"/>
      <c r="I21" s="7"/>
      <c r="J21" s="7"/>
      <c r="K21" s="7"/>
      <c r="L21" s="7"/>
      <c r="M21" s="7"/>
      <c r="N21" s="7"/>
      <c r="O21" s="7"/>
      <c r="P21" s="7"/>
      <c r="Q21" s="7"/>
      <c r="R21" s="7"/>
      <c r="S21" s="7"/>
      <c r="T21" s="7"/>
      <c r="U21" s="7"/>
      <c r="V21" s="7"/>
      <c r="W21" s="7"/>
      <c r="X21" s="7"/>
      <c r="Y21" s="7"/>
      <c r="Z21" s="7"/>
    </row>
    <row r="22" spans="1:26" ht="12.75" customHeight="1">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52"/>
  <sheetViews>
    <sheetView workbookViewId="0">
      <pane ySplit="8" topLeftCell="A67" activePane="bottomLeft" state="frozen"/>
      <selection pane="bottomLeft" activeCell="C68" sqref="C68"/>
    </sheetView>
  </sheetViews>
  <sheetFormatPr defaultColWidth="14.44140625" defaultRowHeight="15" customHeight="1"/>
  <cols>
    <col min="1" max="1" width="17.33203125" customWidth="1"/>
    <col min="2" max="2" width="23.109375" customWidth="1"/>
    <col min="3" max="3" width="29.33203125" customWidth="1"/>
    <col min="4" max="4" width="32.5546875" customWidth="1"/>
    <col min="5" max="5" width="29.44140625" customWidth="1"/>
    <col min="6" max="6" width="9" customWidth="1"/>
    <col min="7" max="7" width="12" customWidth="1"/>
    <col min="8" max="8" width="20.109375" customWidth="1"/>
    <col min="9" max="9" width="9.44140625" customWidth="1"/>
    <col min="10" max="10" width="8.109375" hidden="1" customWidth="1"/>
    <col min="11" max="26" width="9.109375" customWidth="1"/>
  </cols>
  <sheetData>
    <row r="1" spans="1:26" ht="13.5" customHeight="1">
      <c r="A1" s="55"/>
      <c r="B1" s="56"/>
      <c r="C1" s="56"/>
      <c r="D1" s="56"/>
      <c r="E1" s="56"/>
      <c r="F1" s="34"/>
      <c r="G1" s="57"/>
      <c r="H1" s="34"/>
      <c r="I1" s="58"/>
      <c r="J1" s="59"/>
      <c r="K1" s="59"/>
      <c r="L1" s="59"/>
      <c r="M1" s="59"/>
      <c r="N1" s="59"/>
      <c r="O1" s="59"/>
      <c r="P1" s="59"/>
      <c r="Q1" s="59"/>
      <c r="R1" s="59"/>
      <c r="S1" s="59"/>
      <c r="T1" s="59"/>
      <c r="U1" s="59"/>
      <c r="V1" s="59"/>
      <c r="W1" s="59"/>
      <c r="X1" s="59"/>
      <c r="Y1" s="59"/>
      <c r="Z1" s="59"/>
    </row>
    <row r="2" spans="1:26" ht="15" customHeight="1">
      <c r="A2" s="60" t="s">
        <v>29</v>
      </c>
      <c r="B2" s="130" t="s">
        <v>237</v>
      </c>
      <c r="C2" s="114"/>
      <c r="D2" s="114"/>
      <c r="E2" s="114"/>
      <c r="F2" s="114"/>
      <c r="G2" s="114"/>
      <c r="H2" s="115"/>
      <c r="I2" s="58"/>
      <c r="J2" s="59" t="s">
        <v>30</v>
      </c>
      <c r="K2" s="59"/>
      <c r="L2" s="59"/>
      <c r="M2" s="59"/>
      <c r="N2" s="59"/>
      <c r="O2" s="59"/>
      <c r="P2" s="59"/>
      <c r="Q2" s="59"/>
      <c r="R2" s="59"/>
      <c r="S2" s="59"/>
      <c r="T2" s="59"/>
      <c r="U2" s="59"/>
      <c r="V2" s="59"/>
      <c r="W2" s="59"/>
      <c r="X2" s="59"/>
      <c r="Y2" s="59"/>
      <c r="Z2" s="59"/>
    </row>
    <row r="3" spans="1:26" ht="25.5" customHeight="1">
      <c r="A3" s="61" t="s">
        <v>31</v>
      </c>
      <c r="B3" s="130" t="s">
        <v>237</v>
      </c>
      <c r="C3" s="114"/>
      <c r="D3" s="114"/>
      <c r="E3" s="114"/>
      <c r="F3" s="114"/>
      <c r="G3" s="114"/>
      <c r="H3" s="115"/>
      <c r="I3" s="58"/>
      <c r="J3" s="59" t="s">
        <v>32</v>
      </c>
      <c r="K3" s="59"/>
      <c r="L3" s="59"/>
      <c r="M3" s="59"/>
      <c r="N3" s="59"/>
      <c r="O3" s="59"/>
      <c r="P3" s="59"/>
      <c r="Q3" s="59"/>
      <c r="R3" s="59"/>
      <c r="S3" s="59"/>
      <c r="T3" s="59"/>
      <c r="U3" s="59"/>
      <c r="V3" s="59"/>
      <c r="W3" s="59"/>
      <c r="X3" s="59"/>
      <c r="Y3" s="59"/>
      <c r="Z3" s="59"/>
    </row>
    <row r="4" spans="1:26" ht="18" customHeight="1">
      <c r="A4" s="60" t="s">
        <v>33</v>
      </c>
      <c r="B4" s="130" t="s">
        <v>233</v>
      </c>
      <c r="C4" s="114"/>
      <c r="D4" s="114"/>
      <c r="E4" s="114"/>
      <c r="F4" s="114"/>
      <c r="G4" s="114"/>
      <c r="H4" s="115"/>
      <c r="I4" s="58"/>
      <c r="J4" s="59" t="s">
        <v>34</v>
      </c>
      <c r="K4" s="59" t="s">
        <v>234</v>
      </c>
      <c r="L4" s="59"/>
      <c r="M4" s="59"/>
      <c r="N4" s="59"/>
      <c r="O4" s="59"/>
      <c r="P4" s="59"/>
      <c r="Q4" s="59"/>
      <c r="R4" s="59"/>
      <c r="S4" s="59"/>
      <c r="T4" s="59"/>
      <c r="U4" s="59"/>
      <c r="V4" s="59"/>
      <c r="W4" s="59"/>
      <c r="X4" s="59"/>
      <c r="Y4" s="59"/>
      <c r="Z4" s="59"/>
    </row>
    <row r="5" spans="1:26" ht="19.5" customHeight="1">
      <c r="A5" s="62" t="s">
        <v>30</v>
      </c>
      <c r="B5" s="63" t="s">
        <v>32</v>
      </c>
      <c r="C5" s="63" t="s">
        <v>35</v>
      </c>
      <c r="D5" s="63" t="s">
        <v>34</v>
      </c>
      <c r="E5" s="64" t="s">
        <v>36</v>
      </c>
      <c r="F5" s="131" t="s">
        <v>37</v>
      </c>
      <c r="G5" s="114"/>
      <c r="H5" s="115"/>
      <c r="I5" s="65"/>
      <c r="J5" s="59" t="s">
        <v>35</v>
      </c>
      <c r="K5" s="59" t="s">
        <v>58</v>
      </c>
      <c r="L5" s="59" t="s">
        <v>235</v>
      </c>
      <c r="M5" s="59"/>
      <c r="N5" s="59"/>
      <c r="O5" s="59"/>
      <c r="P5" s="59"/>
      <c r="Q5" s="59"/>
      <c r="R5" s="59"/>
      <c r="S5" s="59"/>
      <c r="T5" s="59"/>
      <c r="U5" s="59"/>
      <c r="V5" s="59"/>
      <c r="W5" s="59"/>
      <c r="X5" s="59"/>
      <c r="Y5" s="59"/>
      <c r="Z5" s="59"/>
    </row>
    <row r="6" spans="1:26" ht="15" customHeight="1">
      <c r="A6" s="66">
        <f>COUNTIF(F9:F1048,"Passed")</f>
        <v>0</v>
      </c>
      <c r="B6" s="67">
        <f>COUNTIF(F9:F1048,"Failed")</f>
        <v>0</v>
      </c>
      <c r="C6" s="67">
        <f>F6-E6-D6-B6-A6</f>
        <v>61</v>
      </c>
      <c r="D6" s="67">
        <f>COUNTIF(F$9:F$1048,"Blocked")</f>
        <v>0</v>
      </c>
      <c r="E6" s="68">
        <f>COUNTIF(F$9:F$1048,"Skipped")</f>
        <v>0</v>
      </c>
      <c r="F6" s="132">
        <f>COUNTA(A9:A1048)</f>
        <v>61</v>
      </c>
      <c r="G6" s="114"/>
      <c r="H6" s="115"/>
      <c r="I6" s="65"/>
      <c r="J6" s="59" t="s">
        <v>36</v>
      </c>
      <c r="K6" s="59" t="s">
        <v>140</v>
      </c>
      <c r="L6" s="59" t="s">
        <v>236</v>
      </c>
      <c r="M6" s="59"/>
      <c r="N6" s="59"/>
      <c r="O6" s="59"/>
      <c r="P6" s="59"/>
      <c r="Q6" s="59"/>
      <c r="R6" s="59"/>
      <c r="S6" s="59"/>
      <c r="T6" s="59"/>
      <c r="U6" s="59"/>
      <c r="V6" s="59"/>
      <c r="W6" s="59"/>
      <c r="X6" s="59"/>
      <c r="Y6" s="59"/>
      <c r="Z6" s="59"/>
    </row>
    <row r="7" spans="1:26" ht="15" customHeight="1">
      <c r="A7" s="59"/>
      <c r="B7" s="59"/>
      <c r="C7" s="59"/>
      <c r="D7" s="69"/>
      <c r="E7" s="69"/>
      <c r="F7" s="70"/>
      <c r="G7" s="70"/>
      <c r="H7" s="70"/>
      <c r="I7" s="65"/>
      <c r="J7" s="59"/>
      <c r="K7" s="59"/>
      <c r="L7" s="59"/>
      <c r="M7" s="59"/>
      <c r="N7" s="59"/>
      <c r="O7" s="59"/>
      <c r="P7" s="59"/>
      <c r="Q7" s="59"/>
      <c r="R7" s="59"/>
      <c r="S7" s="59"/>
      <c r="T7" s="59"/>
      <c r="U7" s="59"/>
      <c r="V7" s="59"/>
      <c r="W7" s="59"/>
      <c r="X7" s="59"/>
      <c r="Y7" s="59"/>
      <c r="Z7" s="59"/>
    </row>
    <row r="8" spans="1:26" ht="25.5" customHeight="1">
      <c r="A8" s="71" t="s">
        <v>38</v>
      </c>
      <c r="B8" s="72" t="s">
        <v>39</v>
      </c>
      <c r="C8" s="72" t="s">
        <v>40</v>
      </c>
      <c r="D8" s="72" t="s">
        <v>41</v>
      </c>
      <c r="E8" s="73" t="s">
        <v>42</v>
      </c>
      <c r="F8" s="73" t="s">
        <v>43</v>
      </c>
      <c r="G8" s="73" t="s">
        <v>44</v>
      </c>
      <c r="H8" s="74" t="s">
        <v>28</v>
      </c>
      <c r="I8" s="75"/>
      <c r="J8" s="59"/>
      <c r="K8" s="59"/>
      <c r="L8" s="59"/>
      <c r="M8" s="59"/>
      <c r="N8" s="59"/>
      <c r="O8" s="59"/>
      <c r="P8" s="59"/>
      <c r="Q8" s="59"/>
      <c r="R8" s="59"/>
      <c r="S8" s="59"/>
      <c r="T8" s="59"/>
      <c r="U8" s="59"/>
      <c r="V8" s="59"/>
      <c r="W8" s="59"/>
      <c r="X8" s="59"/>
      <c r="Y8" s="59"/>
      <c r="Z8" s="59"/>
    </row>
    <row r="9" spans="1:26" ht="101.4" customHeight="1">
      <c r="A9" s="76" t="str">
        <f>TEXT($K$5,"@") &amp; TEXT(ROW(A9)-8,"00")</f>
        <v>Cart_UI_ 01</v>
      </c>
      <c r="B9" s="77" t="s">
        <v>65</v>
      </c>
      <c r="C9" s="77" t="s">
        <v>68</v>
      </c>
      <c r="D9" s="77" t="s">
        <v>57</v>
      </c>
      <c r="E9" s="77"/>
      <c r="F9" s="78"/>
      <c r="G9" s="79">
        <v>45633</v>
      </c>
      <c r="H9" s="80"/>
      <c r="I9" s="81"/>
      <c r="J9" s="7"/>
      <c r="K9" s="7"/>
      <c r="L9" s="7"/>
      <c r="M9" s="7"/>
      <c r="N9" s="7"/>
      <c r="O9" s="7"/>
      <c r="P9" s="7"/>
      <c r="Q9" s="7"/>
      <c r="R9" s="7"/>
      <c r="S9" s="7"/>
      <c r="T9" s="7"/>
      <c r="U9" s="7"/>
      <c r="V9" s="7"/>
      <c r="W9" s="7"/>
      <c r="X9" s="7"/>
      <c r="Y9" s="7"/>
      <c r="Z9" s="7"/>
    </row>
    <row r="10" spans="1:26" ht="75" customHeight="1">
      <c r="A10" s="76" t="str">
        <f>TEXT($K$5,"@") &amp; TEXT(ROW(A10)-8,"00")</f>
        <v>Cart_UI_ 02</v>
      </c>
      <c r="B10" s="77" t="s">
        <v>66</v>
      </c>
      <c r="C10" s="77" t="s">
        <v>69</v>
      </c>
      <c r="D10" s="77" t="s">
        <v>59</v>
      </c>
      <c r="E10" s="77"/>
      <c r="F10" s="78"/>
      <c r="G10" s="79">
        <v>45633</v>
      </c>
      <c r="H10" s="80"/>
      <c r="I10" s="81"/>
      <c r="J10" s="7"/>
      <c r="K10" s="7"/>
      <c r="L10" s="7"/>
      <c r="M10" s="7"/>
      <c r="N10" s="7"/>
      <c r="O10" s="7"/>
      <c r="P10" s="7"/>
      <c r="Q10" s="7"/>
      <c r="R10" s="7"/>
      <c r="S10" s="7"/>
      <c r="T10" s="7"/>
      <c r="U10" s="7"/>
      <c r="V10" s="7"/>
      <c r="W10" s="7"/>
      <c r="X10" s="7"/>
      <c r="Y10" s="7"/>
      <c r="Z10" s="7"/>
    </row>
    <row r="11" spans="1:26" ht="125.4" customHeight="1">
      <c r="A11" s="76" t="str">
        <f>TEXT($K$5,"@") &amp; TEXT(ROW(A11)-8,"00")</f>
        <v>Cart_UI_ 03</v>
      </c>
      <c r="B11" s="77" t="s">
        <v>60</v>
      </c>
      <c r="C11" s="77" t="s">
        <v>126</v>
      </c>
      <c r="D11" s="77" t="s">
        <v>71</v>
      </c>
      <c r="E11" s="77"/>
      <c r="F11" s="78"/>
      <c r="G11" s="79">
        <v>45633</v>
      </c>
      <c r="H11" s="80"/>
      <c r="I11" s="81"/>
      <c r="J11" s="7"/>
      <c r="K11" s="7"/>
      <c r="L11" s="7"/>
      <c r="M11" s="7"/>
      <c r="N11" s="7"/>
      <c r="O11" s="7"/>
      <c r="P11" s="7"/>
      <c r="Q11" s="7"/>
      <c r="R11" s="7"/>
      <c r="S11" s="7"/>
      <c r="T11" s="7"/>
      <c r="U11" s="7"/>
      <c r="V11" s="7"/>
      <c r="W11" s="7"/>
      <c r="X11" s="7"/>
      <c r="Y11" s="7"/>
      <c r="Z11" s="7"/>
    </row>
    <row r="12" spans="1:26" ht="150" customHeight="1">
      <c r="A12" s="76" t="str">
        <f>TEXT($K$5,"@") &amp; TEXT(ROW(A12)-8,"00")</f>
        <v>Cart_UI_ 04</v>
      </c>
      <c r="B12" s="77" t="s">
        <v>61</v>
      </c>
      <c r="C12" s="77" t="s">
        <v>85</v>
      </c>
      <c r="D12" s="77" t="s">
        <v>64</v>
      </c>
      <c r="E12" s="77"/>
      <c r="F12" s="78"/>
      <c r="G12" s="79">
        <v>45633</v>
      </c>
      <c r="H12" s="83"/>
      <c r="I12" s="84"/>
      <c r="J12" s="7"/>
      <c r="K12" s="7"/>
      <c r="L12" s="7"/>
      <c r="M12" s="7"/>
      <c r="N12" s="7"/>
      <c r="O12" s="7"/>
      <c r="P12" s="7"/>
      <c r="Q12" s="7"/>
      <c r="R12" s="7"/>
      <c r="S12" s="7"/>
      <c r="T12" s="7"/>
      <c r="U12" s="7"/>
      <c r="V12" s="7"/>
      <c r="W12" s="7"/>
      <c r="X12" s="7"/>
      <c r="Y12" s="7"/>
      <c r="Z12" s="7"/>
    </row>
    <row r="13" spans="1:26" ht="89.4" customHeight="1">
      <c r="A13" s="76" t="str">
        <f>TEXT($K$5,"@") &amp; TEXT(ROW(A13)-8,"00")</f>
        <v>Cart_UI_ 05</v>
      </c>
      <c r="B13" s="77" t="s">
        <v>62</v>
      </c>
      <c r="C13" s="77" t="s">
        <v>70</v>
      </c>
      <c r="D13" s="77" t="s">
        <v>63</v>
      </c>
      <c r="E13" s="77" t="str">
        <f>A12</f>
        <v>Cart_UI_ 04</v>
      </c>
      <c r="F13" s="78"/>
      <c r="G13" s="79">
        <v>45633</v>
      </c>
      <c r="H13" s="80"/>
      <c r="I13" s="82"/>
      <c r="J13" s="59"/>
      <c r="K13" s="59"/>
      <c r="L13" s="59"/>
      <c r="M13" s="59"/>
      <c r="N13" s="59"/>
      <c r="O13" s="59"/>
      <c r="P13" s="59"/>
      <c r="Q13" s="59"/>
      <c r="R13" s="59"/>
      <c r="S13" s="59"/>
      <c r="T13" s="59"/>
      <c r="U13" s="59"/>
      <c r="V13" s="59"/>
      <c r="W13" s="59"/>
      <c r="X13" s="59"/>
      <c r="Y13" s="59"/>
      <c r="Z13" s="59"/>
    </row>
    <row r="14" spans="1:26" ht="63.6" customHeight="1">
      <c r="A14" s="76" t="str">
        <f>TEXT($K$5,"@") &amp; TEXT(ROW(A14)-8,"00")</f>
        <v>Cart_UI_ 06</v>
      </c>
      <c r="B14" s="77" t="s">
        <v>67</v>
      </c>
      <c r="C14" s="77" t="s">
        <v>86</v>
      </c>
      <c r="D14" s="77" t="s">
        <v>72</v>
      </c>
      <c r="E14" s="77" t="str">
        <f>A12</f>
        <v>Cart_UI_ 04</v>
      </c>
      <c r="F14" s="78"/>
      <c r="G14" s="79">
        <v>45633</v>
      </c>
      <c r="H14" s="80"/>
      <c r="I14" s="81"/>
      <c r="J14" s="7"/>
      <c r="K14" s="7"/>
      <c r="L14" s="7"/>
      <c r="M14" s="7"/>
      <c r="N14" s="7"/>
      <c r="O14" s="7"/>
      <c r="P14" s="7"/>
      <c r="Q14" s="7"/>
      <c r="R14" s="7"/>
      <c r="S14" s="7"/>
      <c r="T14" s="7"/>
      <c r="U14" s="7"/>
      <c r="V14" s="7"/>
      <c r="W14" s="7"/>
      <c r="X14" s="7"/>
      <c r="Y14" s="7"/>
      <c r="Z14" s="7"/>
    </row>
    <row r="15" spans="1:26" ht="51.6" customHeight="1">
      <c r="A15" s="76" t="str">
        <f>TEXT($K$5,"@") &amp; TEXT(ROW(A15)-8,"00")</f>
        <v>Cart_UI_ 07</v>
      </c>
      <c r="B15" s="77" t="s">
        <v>189</v>
      </c>
      <c r="C15" s="77" t="s">
        <v>190</v>
      </c>
      <c r="D15" s="77" t="s">
        <v>191</v>
      </c>
      <c r="E15" s="77" t="str">
        <f>A12</f>
        <v>Cart_UI_ 04</v>
      </c>
      <c r="F15" s="78"/>
      <c r="G15" s="79">
        <v>45633</v>
      </c>
      <c r="H15" s="80"/>
      <c r="I15" s="84"/>
      <c r="J15" s="7"/>
      <c r="K15" s="7"/>
      <c r="L15" s="7"/>
      <c r="M15" s="7"/>
      <c r="N15" s="7"/>
      <c r="O15" s="7"/>
      <c r="P15" s="7"/>
      <c r="Q15" s="7"/>
      <c r="R15" s="7"/>
      <c r="S15" s="7"/>
      <c r="T15" s="7"/>
      <c r="U15" s="7"/>
      <c r="V15" s="7"/>
      <c r="W15" s="7"/>
      <c r="X15" s="7"/>
      <c r="Y15" s="7"/>
      <c r="Z15" s="7"/>
    </row>
    <row r="16" spans="1:26" ht="105.6" customHeight="1">
      <c r="A16" s="76" t="str">
        <f>TEXT($K$5,"@") &amp; TEXT(ROW(A16)-8,"00")</f>
        <v>Cart_UI_ 08</v>
      </c>
      <c r="B16" s="77" t="s">
        <v>79</v>
      </c>
      <c r="C16" s="77" t="s">
        <v>136</v>
      </c>
      <c r="D16" s="77" t="s">
        <v>75</v>
      </c>
      <c r="E16" s="77" t="str">
        <f>A12</f>
        <v>Cart_UI_ 04</v>
      </c>
      <c r="F16" s="78"/>
      <c r="G16" s="79">
        <v>45633</v>
      </c>
      <c r="H16" s="80"/>
      <c r="I16" s="84"/>
      <c r="J16" s="7"/>
      <c r="K16" s="7"/>
      <c r="L16" s="7"/>
      <c r="M16" s="7"/>
      <c r="N16" s="7"/>
      <c r="O16" s="7"/>
      <c r="P16" s="7"/>
      <c r="Q16" s="7"/>
      <c r="R16" s="7"/>
      <c r="S16" s="7"/>
      <c r="T16" s="7"/>
      <c r="U16" s="7"/>
      <c r="V16" s="7"/>
      <c r="W16" s="7"/>
      <c r="X16" s="7"/>
      <c r="Y16" s="7"/>
      <c r="Z16" s="7"/>
    </row>
    <row r="17" spans="1:26" ht="46.2" customHeight="1">
      <c r="A17" s="76" t="str">
        <f>TEXT($K$5,"@") &amp; TEXT(ROW(A17)-8,"00")</f>
        <v>Cart_UI_ 09</v>
      </c>
      <c r="B17" s="77" t="s">
        <v>73</v>
      </c>
      <c r="C17" s="77" t="s">
        <v>74</v>
      </c>
      <c r="D17" s="77" t="s">
        <v>80</v>
      </c>
      <c r="E17" s="77" t="str">
        <f>A12</f>
        <v>Cart_UI_ 04</v>
      </c>
      <c r="F17" s="78"/>
      <c r="G17" s="79">
        <v>45633</v>
      </c>
      <c r="H17" s="80"/>
      <c r="I17" s="84"/>
      <c r="J17" s="7"/>
      <c r="K17" s="7"/>
      <c r="L17" s="7"/>
      <c r="M17" s="7"/>
      <c r="N17" s="7"/>
      <c r="O17" s="7"/>
      <c r="P17" s="7"/>
      <c r="Q17" s="7"/>
      <c r="R17" s="7"/>
      <c r="S17" s="7"/>
      <c r="T17" s="7"/>
      <c r="U17" s="7"/>
      <c r="V17" s="7"/>
      <c r="W17" s="7"/>
      <c r="X17" s="7"/>
      <c r="Y17" s="7"/>
      <c r="Z17" s="7"/>
    </row>
    <row r="18" spans="1:26" ht="101.4" customHeight="1">
      <c r="A18" s="76" t="str">
        <f>TEXT($K$5,"@") &amp; TEXT(ROW(A18)-8,"00")</f>
        <v>Cart_UI_ 10</v>
      </c>
      <c r="B18" s="77" t="s">
        <v>81</v>
      </c>
      <c r="C18" s="77" t="s">
        <v>127</v>
      </c>
      <c r="D18" s="77" t="s">
        <v>76</v>
      </c>
      <c r="E18" s="77" t="str">
        <f>A12</f>
        <v>Cart_UI_ 04</v>
      </c>
      <c r="F18" s="78"/>
      <c r="G18" s="79">
        <v>45633</v>
      </c>
      <c r="H18" s="80"/>
      <c r="I18" s="84"/>
      <c r="J18" s="7"/>
      <c r="K18" s="7"/>
      <c r="L18" s="7"/>
      <c r="M18" s="7"/>
      <c r="N18" s="7"/>
      <c r="O18" s="7"/>
      <c r="P18" s="7"/>
      <c r="Q18" s="7"/>
      <c r="R18" s="7"/>
      <c r="S18" s="7"/>
      <c r="T18" s="7"/>
      <c r="U18" s="7"/>
      <c r="V18" s="7"/>
      <c r="W18" s="7"/>
      <c r="X18" s="7"/>
      <c r="Y18" s="7"/>
      <c r="Z18" s="7"/>
    </row>
    <row r="19" spans="1:26" ht="129" customHeight="1">
      <c r="A19" s="76" t="str">
        <f>TEXT($K$5,"@") &amp; TEXT(ROW(A19)-8,"00")</f>
        <v>Cart_UI_ 11</v>
      </c>
      <c r="B19" s="77" t="s">
        <v>78</v>
      </c>
      <c r="C19" s="77" t="s">
        <v>128</v>
      </c>
      <c r="D19" s="77" t="s">
        <v>77</v>
      </c>
      <c r="E19" s="77" t="str">
        <f>A12</f>
        <v>Cart_UI_ 04</v>
      </c>
      <c r="F19" s="78"/>
      <c r="G19" s="79">
        <v>45633</v>
      </c>
      <c r="H19" s="80"/>
      <c r="I19" s="84"/>
      <c r="J19" s="7"/>
      <c r="K19" s="7"/>
      <c r="L19" s="7"/>
      <c r="M19" s="7"/>
      <c r="N19" s="7"/>
      <c r="O19" s="7"/>
      <c r="P19" s="7"/>
      <c r="Q19" s="7"/>
      <c r="R19" s="7"/>
      <c r="S19" s="7"/>
      <c r="T19" s="7"/>
      <c r="U19" s="7"/>
      <c r="V19" s="7"/>
      <c r="W19" s="7"/>
      <c r="X19" s="7"/>
      <c r="Y19" s="7"/>
      <c r="Z19" s="7"/>
    </row>
    <row r="20" spans="1:26" ht="57" customHeight="1">
      <c r="A20" s="76" t="str">
        <f>TEXT($K$5,"@") &amp; TEXT(ROW(A20)-8,"00")</f>
        <v>Cart_UI_ 12</v>
      </c>
      <c r="B20" s="77" t="s">
        <v>121</v>
      </c>
      <c r="C20" s="77" t="s">
        <v>82</v>
      </c>
      <c r="D20" s="77" t="s">
        <v>83</v>
      </c>
      <c r="E20" s="77"/>
      <c r="F20" s="78"/>
      <c r="G20" s="79">
        <v>45633</v>
      </c>
      <c r="H20" s="80"/>
      <c r="I20" s="84"/>
      <c r="J20" s="7"/>
      <c r="K20" s="7"/>
      <c r="L20" s="7"/>
      <c r="M20" s="7"/>
      <c r="N20" s="7"/>
      <c r="O20" s="7"/>
      <c r="P20" s="7"/>
      <c r="Q20" s="7"/>
      <c r="R20" s="7"/>
      <c r="S20" s="7"/>
      <c r="T20" s="7"/>
      <c r="U20" s="7"/>
      <c r="V20" s="7"/>
      <c r="W20" s="7"/>
      <c r="X20" s="7"/>
      <c r="Y20" s="7"/>
      <c r="Z20" s="7"/>
    </row>
    <row r="21" spans="1:26" ht="58.2" customHeight="1">
      <c r="A21" s="76" t="str">
        <f>TEXT($K$5,"@") &amp; TEXT(ROW(A21)-8,"00")</f>
        <v>Cart_UI_ 13</v>
      </c>
      <c r="B21" s="77" t="s">
        <v>192</v>
      </c>
      <c r="C21" s="77" t="s">
        <v>193</v>
      </c>
      <c r="D21" s="77" t="s">
        <v>191</v>
      </c>
      <c r="E21" s="77" t="str">
        <f>A12</f>
        <v>Cart_UI_ 04</v>
      </c>
      <c r="F21" s="78"/>
      <c r="G21" s="79">
        <v>45633</v>
      </c>
      <c r="H21" s="80"/>
      <c r="I21" s="84"/>
      <c r="J21" s="7"/>
      <c r="K21" s="7"/>
      <c r="L21" s="7"/>
      <c r="M21" s="7"/>
      <c r="N21" s="7"/>
      <c r="O21" s="7"/>
      <c r="P21" s="7"/>
      <c r="Q21" s="7"/>
      <c r="R21" s="7"/>
      <c r="S21" s="7"/>
      <c r="T21" s="7"/>
      <c r="U21" s="7"/>
      <c r="V21" s="7"/>
      <c r="W21" s="7"/>
      <c r="X21" s="7"/>
      <c r="Y21" s="7"/>
      <c r="Z21" s="7"/>
    </row>
    <row r="22" spans="1:26" ht="49.8" customHeight="1">
      <c r="A22" s="76" t="str">
        <f>TEXT($K$5,"@") &amp; TEXT(ROW(A22)-8,"00")</f>
        <v>Cart_UI_ 14</v>
      </c>
      <c r="B22" s="77" t="s">
        <v>84</v>
      </c>
      <c r="C22" s="77" t="s">
        <v>87</v>
      </c>
      <c r="D22" s="77" t="s">
        <v>88</v>
      </c>
      <c r="E22" s="77" t="str">
        <f>A12</f>
        <v>Cart_UI_ 04</v>
      </c>
      <c r="F22" s="78"/>
      <c r="G22" s="79">
        <v>45633</v>
      </c>
      <c r="H22" s="80"/>
      <c r="I22" s="84"/>
      <c r="J22" s="7"/>
      <c r="K22" s="7"/>
      <c r="L22" s="7"/>
      <c r="M22" s="7"/>
      <c r="N22" s="7"/>
      <c r="O22" s="7"/>
      <c r="P22" s="7"/>
      <c r="Q22" s="7"/>
      <c r="R22" s="7"/>
      <c r="S22" s="7"/>
      <c r="T22" s="7"/>
      <c r="U22" s="7"/>
      <c r="V22" s="7"/>
      <c r="W22" s="7"/>
      <c r="X22" s="7"/>
      <c r="Y22" s="7"/>
      <c r="Z22" s="7"/>
    </row>
    <row r="23" spans="1:26" ht="58.2" customHeight="1">
      <c r="A23" s="76" t="str">
        <f>TEXT($K$5,"@") &amp; TEXT(ROW(A23)-8,"00")</f>
        <v>Cart_UI_ 15</v>
      </c>
      <c r="B23" s="77" t="s">
        <v>89</v>
      </c>
      <c r="C23" s="77" t="s">
        <v>90</v>
      </c>
      <c r="D23" s="77" t="s">
        <v>91</v>
      </c>
      <c r="E23" s="77" t="str">
        <f>A22</f>
        <v>Cart_UI_ 14</v>
      </c>
      <c r="F23" s="78"/>
      <c r="G23" s="79">
        <v>45633</v>
      </c>
      <c r="H23" s="80"/>
      <c r="I23" s="84"/>
      <c r="J23" s="7"/>
      <c r="K23" s="7"/>
      <c r="L23" s="7"/>
      <c r="M23" s="7"/>
      <c r="N23" s="7"/>
      <c r="O23" s="7"/>
      <c r="P23" s="7"/>
      <c r="Q23" s="7"/>
      <c r="R23" s="7"/>
      <c r="S23" s="7"/>
      <c r="T23" s="7"/>
      <c r="U23" s="7"/>
      <c r="V23" s="7"/>
      <c r="W23" s="7"/>
      <c r="X23" s="7"/>
      <c r="Y23" s="7"/>
      <c r="Z23" s="7"/>
    </row>
    <row r="24" spans="1:26" ht="85.8" customHeight="1">
      <c r="A24" s="76" t="str">
        <f>TEXT($K$5,"@") &amp; TEXT(ROW(A24)-8,"00")</f>
        <v>Cart_UI_ 16</v>
      </c>
      <c r="B24" s="77" t="s">
        <v>92</v>
      </c>
      <c r="C24" s="77" t="s">
        <v>93</v>
      </c>
      <c r="D24" s="77" t="s">
        <v>94</v>
      </c>
      <c r="E24" s="77" t="str">
        <f>A12</f>
        <v>Cart_UI_ 04</v>
      </c>
      <c r="F24" s="78"/>
      <c r="G24" s="79">
        <v>45633</v>
      </c>
      <c r="H24" s="80"/>
      <c r="I24" s="84"/>
      <c r="J24" s="7"/>
      <c r="K24" s="7"/>
      <c r="L24" s="7"/>
      <c r="M24" s="7"/>
      <c r="N24" s="7"/>
      <c r="O24" s="7"/>
      <c r="P24" s="7"/>
      <c r="Q24" s="7"/>
      <c r="R24" s="7"/>
      <c r="S24" s="7"/>
      <c r="T24" s="7"/>
      <c r="U24" s="7"/>
      <c r="V24" s="7"/>
      <c r="W24" s="7"/>
      <c r="X24" s="7"/>
      <c r="Y24" s="7"/>
      <c r="Z24" s="7"/>
    </row>
    <row r="25" spans="1:26" ht="54.6" customHeight="1">
      <c r="A25" s="76" t="str">
        <f>TEXT($K$5,"@") &amp; TEXT(ROW(A25)-8,"00")</f>
        <v>Cart_UI_ 17</v>
      </c>
      <c r="B25" s="77" t="s">
        <v>95</v>
      </c>
      <c r="C25" s="77" t="s">
        <v>96</v>
      </c>
      <c r="D25" s="77" t="s">
        <v>97</v>
      </c>
      <c r="E25" s="77" t="str">
        <f>A12</f>
        <v>Cart_UI_ 04</v>
      </c>
      <c r="F25" s="78"/>
      <c r="G25" s="79">
        <v>45633</v>
      </c>
      <c r="H25" s="80"/>
      <c r="I25" s="84"/>
      <c r="J25" s="7"/>
      <c r="K25" s="7"/>
      <c r="L25" s="7"/>
      <c r="M25" s="7"/>
      <c r="N25" s="7"/>
      <c r="O25" s="7"/>
      <c r="P25" s="7"/>
      <c r="Q25" s="7"/>
      <c r="R25" s="7"/>
      <c r="S25" s="7"/>
      <c r="T25" s="7"/>
      <c r="U25" s="7"/>
      <c r="V25" s="7"/>
      <c r="W25" s="7"/>
      <c r="X25" s="7"/>
      <c r="Y25" s="7"/>
      <c r="Z25" s="7"/>
    </row>
    <row r="26" spans="1:26" ht="26.4" customHeight="1">
      <c r="A26" s="76" t="str">
        <f>TEXT($K$5,"@") &amp; TEXT(ROW(A26)-8,"00")</f>
        <v>Cart_UI_ 18</v>
      </c>
      <c r="B26" s="77" t="s">
        <v>98</v>
      </c>
      <c r="C26" s="77" t="s">
        <v>99</v>
      </c>
      <c r="D26" s="77" t="s">
        <v>80</v>
      </c>
      <c r="E26" s="77" t="str">
        <f>A25</f>
        <v>Cart_UI_ 17</v>
      </c>
      <c r="F26" s="78"/>
      <c r="G26" s="79">
        <v>45633</v>
      </c>
      <c r="H26" s="80"/>
      <c r="I26" s="84"/>
      <c r="J26" s="7"/>
      <c r="K26" s="7"/>
      <c r="L26" s="7"/>
      <c r="M26" s="7"/>
      <c r="N26" s="7"/>
      <c r="O26" s="7"/>
      <c r="P26" s="7"/>
      <c r="Q26" s="7"/>
      <c r="R26" s="7"/>
      <c r="S26" s="7"/>
      <c r="T26" s="7"/>
      <c r="U26" s="7"/>
      <c r="V26" s="7"/>
      <c r="W26" s="7"/>
      <c r="X26" s="7"/>
      <c r="Y26" s="7"/>
      <c r="Z26" s="7"/>
    </row>
    <row r="27" spans="1:26" ht="95.4" customHeight="1">
      <c r="A27" s="76" t="str">
        <f>TEXT($K$5,"@") &amp; TEXT(ROW(A27)-8,"00")</f>
        <v>Cart_UI_ 19</v>
      </c>
      <c r="B27" s="77" t="s">
        <v>100</v>
      </c>
      <c r="C27" s="77" t="s">
        <v>101</v>
      </c>
      <c r="D27" s="77" t="s">
        <v>102</v>
      </c>
      <c r="E27" s="77" t="str">
        <f>A12</f>
        <v>Cart_UI_ 04</v>
      </c>
      <c r="F27" s="78"/>
      <c r="G27" s="79">
        <v>45633</v>
      </c>
      <c r="H27" s="80"/>
      <c r="I27" s="84"/>
      <c r="J27" s="7"/>
      <c r="K27" s="7"/>
      <c r="L27" s="7"/>
      <c r="M27" s="7"/>
      <c r="N27" s="7"/>
      <c r="O27" s="7"/>
      <c r="P27" s="7"/>
      <c r="Q27" s="7"/>
      <c r="R27" s="7"/>
      <c r="S27" s="7"/>
      <c r="T27" s="7"/>
      <c r="U27" s="7"/>
      <c r="V27" s="7"/>
      <c r="W27" s="7"/>
      <c r="X27" s="7"/>
      <c r="Y27" s="7"/>
      <c r="Z27" s="7"/>
    </row>
    <row r="28" spans="1:26" ht="60" customHeight="1">
      <c r="A28" s="76" t="str">
        <f>TEXT($K$5,"@") &amp; TEXT(ROW(A28)-8,"00")</f>
        <v>Cart_UI_ 20</v>
      </c>
      <c r="B28" s="77" t="s">
        <v>103</v>
      </c>
      <c r="C28" s="77" t="s">
        <v>104</v>
      </c>
      <c r="D28" s="77" t="s">
        <v>105</v>
      </c>
      <c r="E28" s="77" t="str">
        <f>A27</f>
        <v>Cart_UI_ 19</v>
      </c>
      <c r="F28" s="78"/>
      <c r="G28" s="79">
        <v>45633</v>
      </c>
      <c r="H28" s="80"/>
      <c r="I28" s="84"/>
      <c r="J28" s="7"/>
      <c r="K28" s="7"/>
      <c r="L28" s="7"/>
      <c r="M28" s="7"/>
      <c r="N28" s="7"/>
      <c r="O28" s="7"/>
      <c r="P28" s="7"/>
      <c r="Q28" s="7"/>
      <c r="R28" s="7"/>
      <c r="S28" s="7"/>
      <c r="T28" s="7"/>
      <c r="U28" s="7"/>
      <c r="V28" s="7"/>
      <c r="W28" s="7"/>
      <c r="X28" s="7"/>
      <c r="Y28" s="7"/>
      <c r="Z28" s="7"/>
    </row>
    <row r="29" spans="1:26" ht="41.4" customHeight="1">
      <c r="A29" s="76" t="str">
        <f>TEXT($K$5,"@") &amp; TEXT(ROW(A29)-8,"00")</f>
        <v>Cart_UI_ 21</v>
      </c>
      <c r="B29" s="77" t="s">
        <v>106</v>
      </c>
      <c r="C29" s="77" t="s">
        <v>107</v>
      </c>
      <c r="D29" s="77" t="s">
        <v>108</v>
      </c>
      <c r="E29" s="77" t="str">
        <f>A12</f>
        <v>Cart_UI_ 04</v>
      </c>
      <c r="F29" s="78"/>
      <c r="G29" s="79">
        <v>45633</v>
      </c>
      <c r="H29" s="80"/>
      <c r="I29" s="84"/>
      <c r="J29" s="7"/>
      <c r="K29" s="7"/>
      <c r="L29" s="7"/>
      <c r="M29" s="7"/>
      <c r="N29" s="7"/>
      <c r="O29" s="7"/>
      <c r="P29" s="7"/>
      <c r="Q29" s="7"/>
      <c r="R29" s="7"/>
      <c r="S29" s="7"/>
      <c r="T29" s="7"/>
      <c r="U29" s="7"/>
      <c r="V29" s="7"/>
      <c r="W29" s="7"/>
      <c r="X29" s="7"/>
      <c r="Y29" s="7"/>
      <c r="Z29" s="7"/>
    </row>
    <row r="30" spans="1:26" ht="58.2" customHeight="1">
      <c r="A30" s="76" t="str">
        <f>TEXT($K$5,"@") &amp; TEXT(ROW(A30)-8,"00")</f>
        <v>Cart_UI_ 22</v>
      </c>
      <c r="B30" s="77" t="s">
        <v>109</v>
      </c>
      <c r="C30" s="77" t="s">
        <v>110</v>
      </c>
      <c r="D30" s="77" t="s">
        <v>111</v>
      </c>
      <c r="E30" s="77" t="str">
        <f>A12</f>
        <v>Cart_UI_ 04</v>
      </c>
      <c r="F30" s="78"/>
      <c r="G30" s="79">
        <v>45633</v>
      </c>
      <c r="H30" s="80"/>
      <c r="I30" s="84"/>
      <c r="J30" s="7"/>
      <c r="K30" s="7"/>
      <c r="L30" s="7"/>
      <c r="M30" s="7"/>
      <c r="N30" s="7"/>
      <c r="O30" s="7"/>
      <c r="P30" s="7"/>
      <c r="Q30" s="7"/>
      <c r="R30" s="7"/>
      <c r="S30" s="7"/>
      <c r="T30" s="7"/>
      <c r="U30" s="7"/>
      <c r="V30" s="7"/>
      <c r="W30" s="7"/>
      <c r="X30" s="7"/>
      <c r="Y30" s="7"/>
      <c r="Z30" s="7"/>
    </row>
    <row r="31" spans="1:26" ht="58.8" customHeight="1">
      <c r="A31" s="76" t="str">
        <f>TEXT($K$5,"@") &amp; TEXT(ROW(A31)-8,"00")</f>
        <v>Cart_UI_ 23</v>
      </c>
      <c r="B31" s="77" t="s">
        <v>112</v>
      </c>
      <c r="C31" s="77" t="s">
        <v>113</v>
      </c>
      <c r="D31" s="77" t="s">
        <v>114</v>
      </c>
      <c r="E31" s="77" t="str">
        <f>A12</f>
        <v>Cart_UI_ 04</v>
      </c>
      <c r="F31" s="78"/>
      <c r="G31" s="79">
        <v>45633</v>
      </c>
      <c r="H31" s="80"/>
      <c r="I31" s="84"/>
      <c r="J31" s="7"/>
      <c r="K31" s="7"/>
      <c r="L31" s="7"/>
      <c r="M31" s="7"/>
      <c r="N31" s="7"/>
      <c r="O31" s="7"/>
      <c r="P31" s="7"/>
      <c r="Q31" s="7"/>
      <c r="R31" s="7"/>
      <c r="S31" s="7"/>
      <c r="T31" s="7"/>
      <c r="U31" s="7"/>
      <c r="V31" s="7"/>
      <c r="W31" s="7"/>
      <c r="X31" s="7"/>
      <c r="Y31" s="7"/>
      <c r="Z31" s="7"/>
    </row>
    <row r="32" spans="1:26" ht="28.8" customHeight="1">
      <c r="A32" s="76" t="str">
        <f>TEXT($K$5,"@") &amp; TEXT(ROW(A32)-8,"00")</f>
        <v>Cart_UI_ 24</v>
      </c>
      <c r="B32" s="77" t="s">
        <v>115</v>
      </c>
      <c r="C32" s="77" t="s">
        <v>116</v>
      </c>
      <c r="D32" s="77" t="s">
        <v>80</v>
      </c>
      <c r="E32" s="77" t="str">
        <f>A31</f>
        <v>Cart_UI_ 23</v>
      </c>
      <c r="F32" s="78"/>
      <c r="G32" s="79">
        <v>45633</v>
      </c>
      <c r="H32" s="80"/>
      <c r="I32" s="84"/>
      <c r="J32" s="7"/>
      <c r="K32" s="7"/>
      <c r="L32" s="7"/>
      <c r="M32" s="7"/>
      <c r="N32" s="7"/>
      <c r="O32" s="7"/>
      <c r="P32" s="7"/>
      <c r="Q32" s="7"/>
      <c r="R32" s="7"/>
      <c r="S32" s="7"/>
      <c r="T32" s="7"/>
      <c r="U32" s="7"/>
      <c r="V32" s="7"/>
      <c r="W32" s="7"/>
      <c r="X32" s="7"/>
      <c r="Y32" s="7"/>
      <c r="Z32" s="7"/>
    </row>
    <row r="33" spans="1:26" ht="44.4" customHeight="1">
      <c r="A33" s="76" t="str">
        <f>TEXT($K$5,"@") &amp; TEXT(ROW(A33)-8,"00")</f>
        <v>Cart_UI_ 25</v>
      </c>
      <c r="B33" s="77" t="s">
        <v>117</v>
      </c>
      <c r="C33" s="77" t="s">
        <v>118</v>
      </c>
      <c r="D33" s="77" t="s">
        <v>119</v>
      </c>
      <c r="E33" s="77" t="str">
        <f>A12&amp;", "&amp;
A31</f>
        <v>Cart_UI_ 04, Cart_UI_ 23</v>
      </c>
      <c r="F33" s="78"/>
      <c r="G33" s="79">
        <v>45633</v>
      </c>
      <c r="H33" s="80"/>
      <c r="I33" s="84"/>
      <c r="J33" s="7"/>
      <c r="K33" s="7"/>
      <c r="L33" s="7"/>
      <c r="M33" s="7"/>
      <c r="N33" s="7"/>
      <c r="O33" s="7"/>
      <c r="P33" s="7"/>
      <c r="Q33" s="7"/>
      <c r="R33" s="7"/>
      <c r="S33" s="7"/>
      <c r="T33" s="7"/>
      <c r="U33" s="7"/>
      <c r="V33" s="7"/>
      <c r="W33" s="7"/>
      <c r="X33" s="7"/>
      <c r="Y33" s="7"/>
      <c r="Z33" s="7"/>
    </row>
    <row r="34" spans="1:26" ht="106.2" customHeight="1">
      <c r="A34" s="76" t="str">
        <f>TEXT($K$6,"@") &amp; TEXT(ROW(A34)-8,"00")</f>
        <v>Cart_FU_26</v>
      </c>
      <c r="B34" s="77" t="s">
        <v>120</v>
      </c>
      <c r="C34" s="77" t="s">
        <v>124</v>
      </c>
      <c r="D34" s="77" t="s">
        <v>141</v>
      </c>
      <c r="E34" s="77" t="str">
        <f>A20</f>
        <v>Cart_UI_ 12</v>
      </c>
      <c r="F34" s="78"/>
      <c r="G34" s="79">
        <v>45633</v>
      </c>
      <c r="H34" s="80"/>
      <c r="I34" s="84"/>
      <c r="J34" s="7"/>
      <c r="K34" s="7"/>
      <c r="L34" s="7"/>
      <c r="M34" s="7"/>
      <c r="N34" s="7"/>
      <c r="O34" s="7"/>
      <c r="P34" s="7"/>
      <c r="Q34" s="7"/>
      <c r="R34" s="7"/>
      <c r="S34" s="7"/>
      <c r="T34" s="7"/>
      <c r="U34" s="7"/>
      <c r="V34" s="7"/>
      <c r="W34" s="7"/>
      <c r="X34" s="7"/>
      <c r="Y34" s="7"/>
      <c r="Z34" s="7"/>
    </row>
    <row r="35" spans="1:26" ht="118.2" customHeight="1">
      <c r="A35" s="76" t="str">
        <f>TEXT($K$6,"@") &amp; TEXT(ROW(A35)-8,"00")</f>
        <v>Cart_FU_27</v>
      </c>
      <c r="B35" s="77" t="s">
        <v>123</v>
      </c>
      <c r="C35" s="77" t="s">
        <v>125</v>
      </c>
      <c r="D35" s="77" t="s">
        <v>122</v>
      </c>
      <c r="E35" s="77"/>
      <c r="F35" s="78"/>
      <c r="G35" s="79">
        <v>45633</v>
      </c>
      <c r="H35" s="80"/>
      <c r="I35" s="84"/>
      <c r="J35" s="7"/>
      <c r="K35" s="7"/>
      <c r="L35" s="7"/>
      <c r="M35" s="7"/>
      <c r="N35" s="7"/>
      <c r="O35" s="7"/>
      <c r="P35" s="7"/>
      <c r="Q35" s="7"/>
      <c r="R35" s="7"/>
      <c r="S35" s="7"/>
      <c r="T35" s="7"/>
      <c r="U35" s="7"/>
      <c r="V35" s="7"/>
      <c r="W35" s="7"/>
      <c r="X35" s="7"/>
      <c r="Y35" s="7"/>
      <c r="Z35" s="7"/>
    </row>
    <row r="36" spans="1:26" ht="61.2" customHeight="1">
      <c r="A36" s="76" t="str">
        <f t="shared" ref="A36:A69" si="0">TEXT($K$6,"@") &amp; TEXT(ROW(A36)-8,"00")</f>
        <v>Cart_FU_28</v>
      </c>
      <c r="B36" s="77" t="s">
        <v>129</v>
      </c>
      <c r="C36" s="77" t="s">
        <v>130</v>
      </c>
      <c r="D36" s="77" t="s">
        <v>135</v>
      </c>
      <c r="E36" s="77"/>
      <c r="F36" s="78"/>
      <c r="G36" s="79">
        <v>45633</v>
      </c>
      <c r="H36" s="80"/>
      <c r="I36" s="84"/>
      <c r="J36" s="7"/>
      <c r="K36" s="7"/>
      <c r="L36" s="7"/>
      <c r="M36" s="7"/>
      <c r="N36" s="7"/>
      <c r="O36" s="7"/>
      <c r="P36" s="7"/>
      <c r="Q36" s="7"/>
      <c r="R36" s="7"/>
      <c r="S36" s="7"/>
      <c r="T36" s="7"/>
      <c r="U36" s="7"/>
      <c r="V36" s="7"/>
      <c r="W36" s="7"/>
      <c r="X36" s="7"/>
      <c r="Y36" s="7"/>
      <c r="Z36" s="7"/>
    </row>
    <row r="37" spans="1:26" ht="93.6" customHeight="1">
      <c r="A37" s="76" t="str">
        <f t="shared" si="0"/>
        <v>Cart_FU_29</v>
      </c>
      <c r="B37" s="77" t="s">
        <v>138</v>
      </c>
      <c r="C37" s="77" t="s">
        <v>137</v>
      </c>
      <c r="D37" s="77" t="s">
        <v>132</v>
      </c>
      <c r="E37" s="77" t="str">
        <f>A10</f>
        <v>Cart_UI_ 02</v>
      </c>
      <c r="F37" s="78"/>
      <c r="G37" s="79">
        <v>45633</v>
      </c>
      <c r="H37" s="80"/>
      <c r="I37" s="84"/>
      <c r="J37" s="7"/>
      <c r="K37" s="7"/>
      <c r="L37" s="7"/>
      <c r="M37" s="7"/>
      <c r="N37" s="7"/>
      <c r="O37" s="7"/>
      <c r="P37" s="7"/>
      <c r="Q37" s="7"/>
      <c r="R37" s="7"/>
      <c r="S37" s="7"/>
      <c r="T37" s="7"/>
      <c r="U37" s="7"/>
      <c r="V37" s="7"/>
      <c r="W37" s="7"/>
      <c r="X37" s="7"/>
      <c r="Y37" s="7"/>
      <c r="Z37" s="7"/>
    </row>
    <row r="38" spans="1:26" ht="63" customHeight="1">
      <c r="A38" s="76" t="str">
        <f t="shared" si="0"/>
        <v>Cart_FU_30</v>
      </c>
      <c r="B38" s="77" t="s">
        <v>133</v>
      </c>
      <c r="C38" s="77" t="s">
        <v>131</v>
      </c>
      <c r="D38" s="77" t="s">
        <v>134</v>
      </c>
      <c r="E38" s="77" t="str">
        <f>A10</f>
        <v>Cart_UI_ 02</v>
      </c>
      <c r="F38" s="78"/>
      <c r="G38" s="79">
        <v>45633</v>
      </c>
      <c r="H38" s="80"/>
      <c r="I38" s="84"/>
      <c r="J38" s="7"/>
      <c r="K38" s="7"/>
      <c r="L38" s="7"/>
      <c r="M38" s="7"/>
      <c r="N38" s="7"/>
      <c r="O38" s="7"/>
      <c r="P38" s="7"/>
      <c r="Q38" s="7"/>
      <c r="R38" s="7"/>
      <c r="S38" s="7"/>
      <c r="T38" s="7"/>
      <c r="U38" s="7"/>
      <c r="V38" s="7"/>
      <c r="W38" s="7"/>
      <c r="X38" s="7"/>
      <c r="Y38" s="7"/>
      <c r="Z38" s="7"/>
    </row>
    <row r="39" spans="1:26" ht="91.2" customHeight="1">
      <c r="A39" s="76" t="str">
        <f t="shared" si="0"/>
        <v>Cart_FU_31</v>
      </c>
      <c r="B39" s="77" t="s">
        <v>139</v>
      </c>
      <c r="C39" s="77" t="s">
        <v>144</v>
      </c>
      <c r="D39" s="77" t="s">
        <v>142</v>
      </c>
      <c r="E39" s="77"/>
      <c r="F39" s="78"/>
      <c r="G39" s="79">
        <v>45633</v>
      </c>
      <c r="H39" s="80"/>
      <c r="I39" s="84"/>
      <c r="J39" s="7"/>
      <c r="K39" s="7"/>
      <c r="L39" s="7"/>
      <c r="M39" s="7"/>
      <c r="N39" s="7"/>
      <c r="O39" s="7"/>
      <c r="P39" s="7"/>
      <c r="Q39" s="7"/>
      <c r="R39" s="7"/>
      <c r="S39" s="7"/>
      <c r="T39" s="7"/>
      <c r="U39" s="7"/>
      <c r="V39" s="7"/>
      <c r="W39" s="7"/>
      <c r="X39" s="7"/>
      <c r="Y39" s="7"/>
      <c r="Z39" s="7"/>
    </row>
    <row r="40" spans="1:26" ht="100.2" customHeight="1">
      <c r="A40" s="76" t="str">
        <f t="shared" si="0"/>
        <v>Cart_FU_32</v>
      </c>
      <c r="B40" s="77" t="s">
        <v>143</v>
      </c>
      <c r="C40" s="77" t="s">
        <v>145</v>
      </c>
      <c r="D40" s="77" t="s">
        <v>146</v>
      </c>
      <c r="E40" s="77"/>
      <c r="F40" s="78"/>
      <c r="G40" s="79">
        <v>45633</v>
      </c>
      <c r="H40" s="80"/>
      <c r="I40" s="84"/>
      <c r="J40" s="7"/>
      <c r="K40" s="7"/>
      <c r="L40" s="7"/>
      <c r="M40" s="7"/>
      <c r="N40" s="7"/>
      <c r="O40" s="7"/>
      <c r="P40" s="7"/>
      <c r="Q40" s="7"/>
      <c r="R40" s="7"/>
      <c r="S40" s="7"/>
      <c r="T40" s="7"/>
      <c r="U40" s="7"/>
      <c r="V40" s="7"/>
      <c r="W40" s="7"/>
      <c r="X40" s="7"/>
      <c r="Y40" s="7"/>
      <c r="Z40" s="7"/>
    </row>
    <row r="41" spans="1:26" ht="100.2" customHeight="1">
      <c r="A41" s="76" t="str">
        <f t="shared" si="0"/>
        <v>Cart_FU_33</v>
      </c>
      <c r="B41" s="77" t="s">
        <v>212</v>
      </c>
      <c r="C41" s="77" t="s">
        <v>213</v>
      </c>
      <c r="D41" s="77" t="s">
        <v>214</v>
      </c>
      <c r="E41" s="77"/>
      <c r="F41" s="78"/>
      <c r="G41" s="79">
        <v>45633</v>
      </c>
      <c r="H41" s="80"/>
      <c r="I41" s="137"/>
      <c r="J41" s="138"/>
      <c r="K41" s="138"/>
      <c r="L41" s="138"/>
      <c r="M41" s="138"/>
      <c r="N41" s="138"/>
      <c r="O41" s="138"/>
      <c r="P41" s="138"/>
      <c r="Q41" s="138"/>
      <c r="R41" s="138"/>
      <c r="S41" s="138"/>
      <c r="T41" s="138"/>
      <c r="U41" s="138"/>
      <c r="V41" s="138"/>
      <c r="W41" s="138"/>
      <c r="X41" s="138"/>
      <c r="Y41" s="138"/>
      <c r="Z41" s="138"/>
    </row>
    <row r="42" spans="1:26" ht="43.2" customHeight="1">
      <c r="A42" s="76" t="str">
        <f t="shared" si="0"/>
        <v>Cart_FU_34</v>
      </c>
      <c r="B42" s="77" t="s">
        <v>147</v>
      </c>
      <c r="C42" s="77" t="s">
        <v>148</v>
      </c>
      <c r="D42" s="77" t="s">
        <v>149</v>
      </c>
      <c r="E42" s="77"/>
      <c r="F42" s="78"/>
      <c r="G42" s="79">
        <v>45633</v>
      </c>
      <c r="H42" s="80"/>
      <c r="I42" s="84"/>
      <c r="J42" s="7"/>
      <c r="K42" s="7"/>
      <c r="L42" s="7"/>
      <c r="M42" s="7"/>
      <c r="N42" s="7"/>
      <c r="O42" s="7"/>
      <c r="P42" s="7"/>
      <c r="Q42" s="7"/>
      <c r="R42" s="7"/>
      <c r="S42" s="7"/>
      <c r="T42" s="7"/>
      <c r="U42" s="7"/>
      <c r="V42" s="7"/>
      <c r="W42" s="7"/>
      <c r="X42" s="7"/>
      <c r="Y42" s="7"/>
      <c r="Z42" s="7"/>
    </row>
    <row r="43" spans="1:26" ht="83.4" customHeight="1">
      <c r="A43" s="76" t="str">
        <f t="shared" si="0"/>
        <v>Cart_FU_35</v>
      </c>
      <c r="B43" s="77" t="s">
        <v>150</v>
      </c>
      <c r="C43" s="77" t="s">
        <v>151</v>
      </c>
      <c r="D43" s="77" t="s">
        <v>152</v>
      </c>
      <c r="E43" s="77"/>
      <c r="F43" s="78"/>
      <c r="G43" s="79">
        <v>45633</v>
      </c>
      <c r="H43" s="80"/>
      <c r="I43" s="84"/>
      <c r="J43" s="7"/>
      <c r="K43" s="7"/>
      <c r="L43" s="7"/>
      <c r="M43" s="7"/>
      <c r="N43" s="7"/>
      <c r="O43" s="7"/>
      <c r="P43" s="7"/>
      <c r="Q43" s="7"/>
      <c r="R43" s="7"/>
      <c r="S43" s="7"/>
      <c r="T43" s="7"/>
      <c r="U43" s="7"/>
      <c r="V43" s="7"/>
      <c r="W43" s="7"/>
      <c r="X43" s="7"/>
      <c r="Y43" s="7"/>
      <c r="Z43" s="7"/>
    </row>
    <row r="44" spans="1:26" ht="51" customHeight="1">
      <c r="A44" s="76" t="str">
        <f t="shared" si="0"/>
        <v>Cart_FU_36</v>
      </c>
      <c r="B44" s="77" t="s">
        <v>160</v>
      </c>
      <c r="C44" s="77" t="s">
        <v>153</v>
      </c>
      <c r="D44" s="77" t="s">
        <v>158</v>
      </c>
      <c r="E44" s="77"/>
      <c r="F44" s="78"/>
      <c r="G44" s="79">
        <v>45633</v>
      </c>
      <c r="H44" s="80"/>
      <c r="I44" s="84"/>
      <c r="J44" s="7"/>
      <c r="K44" s="7"/>
      <c r="L44" s="7"/>
      <c r="M44" s="7"/>
      <c r="N44" s="7"/>
      <c r="O44" s="7"/>
      <c r="P44" s="7"/>
      <c r="Q44" s="7"/>
      <c r="R44" s="7"/>
      <c r="S44" s="7"/>
      <c r="T44" s="7"/>
      <c r="U44" s="7"/>
      <c r="V44" s="7"/>
      <c r="W44" s="7"/>
      <c r="X44" s="7"/>
      <c r="Y44" s="7"/>
      <c r="Z44" s="7"/>
    </row>
    <row r="45" spans="1:26" ht="31.8" customHeight="1">
      <c r="A45" s="76" t="str">
        <f t="shared" si="0"/>
        <v>Cart_FU_37</v>
      </c>
      <c r="B45" s="77" t="s">
        <v>161</v>
      </c>
      <c r="C45" s="77" t="s">
        <v>155</v>
      </c>
      <c r="D45" s="77" t="s">
        <v>154</v>
      </c>
      <c r="E45" s="77" t="str">
        <f>A37</f>
        <v>Cart_FU_29</v>
      </c>
      <c r="F45" s="78"/>
      <c r="G45" s="79">
        <v>45633</v>
      </c>
      <c r="H45" s="80"/>
      <c r="I45" s="84"/>
      <c r="J45" s="7"/>
      <c r="K45" s="7"/>
      <c r="L45" s="7"/>
      <c r="M45" s="7"/>
      <c r="N45" s="7"/>
      <c r="O45" s="7"/>
      <c r="P45" s="7"/>
      <c r="Q45" s="7"/>
      <c r="R45" s="7"/>
      <c r="S45" s="7"/>
      <c r="T45" s="7"/>
      <c r="U45" s="7"/>
      <c r="V45" s="7"/>
      <c r="W45" s="7"/>
      <c r="X45" s="7"/>
      <c r="Y45" s="7"/>
      <c r="Z45" s="7"/>
    </row>
    <row r="46" spans="1:26" ht="41.4" customHeight="1">
      <c r="A46" s="76" t="str">
        <f t="shared" si="0"/>
        <v>Cart_FU_38</v>
      </c>
      <c r="B46" s="77" t="s">
        <v>156</v>
      </c>
      <c r="C46" s="77" t="s">
        <v>157</v>
      </c>
      <c r="D46" s="77" t="s">
        <v>159</v>
      </c>
      <c r="E46" s="77"/>
      <c r="F46" s="78"/>
      <c r="G46" s="79">
        <v>45633</v>
      </c>
      <c r="H46" s="80"/>
      <c r="I46" s="84"/>
      <c r="J46" s="7"/>
      <c r="K46" s="7"/>
      <c r="L46" s="7"/>
      <c r="M46" s="7"/>
      <c r="N46" s="7"/>
      <c r="O46" s="7"/>
      <c r="P46" s="7"/>
      <c r="Q46" s="7"/>
      <c r="R46" s="7"/>
      <c r="S46" s="7"/>
      <c r="T46" s="7"/>
      <c r="U46" s="7"/>
      <c r="V46" s="7"/>
      <c r="W46" s="7"/>
      <c r="X46" s="7"/>
      <c r="Y46" s="7"/>
      <c r="Z46" s="7"/>
    </row>
    <row r="47" spans="1:26" ht="31.8" customHeight="1">
      <c r="A47" s="76" t="str">
        <f t="shared" si="0"/>
        <v>Cart_FU_39</v>
      </c>
      <c r="B47" s="77" t="s">
        <v>162</v>
      </c>
      <c r="C47" s="77" t="s">
        <v>163</v>
      </c>
      <c r="D47" s="77" t="s">
        <v>159</v>
      </c>
      <c r="E47" s="77" t="str">
        <f>A37</f>
        <v>Cart_FU_29</v>
      </c>
      <c r="F47" s="78"/>
      <c r="G47" s="79">
        <v>45633</v>
      </c>
      <c r="H47" s="80"/>
      <c r="I47" s="84"/>
      <c r="J47" s="7"/>
      <c r="K47" s="7"/>
      <c r="L47" s="7"/>
      <c r="M47" s="7"/>
      <c r="N47" s="7"/>
      <c r="O47" s="7"/>
      <c r="P47" s="7"/>
      <c r="Q47" s="7"/>
      <c r="R47" s="7"/>
      <c r="S47" s="7"/>
      <c r="T47" s="7"/>
      <c r="U47" s="7"/>
      <c r="V47" s="7"/>
      <c r="W47" s="7"/>
      <c r="X47" s="7"/>
      <c r="Y47" s="7"/>
      <c r="Z47" s="7"/>
    </row>
    <row r="48" spans="1:26" ht="64.2" customHeight="1">
      <c r="A48" s="76" t="str">
        <f t="shared" si="0"/>
        <v>Cart_FU_40</v>
      </c>
      <c r="B48" s="77" t="s">
        <v>165</v>
      </c>
      <c r="C48" s="77" t="s">
        <v>166</v>
      </c>
      <c r="D48" s="77" t="s">
        <v>167</v>
      </c>
      <c r="E48" s="77" t="str">
        <f>A47</f>
        <v>Cart_FU_39</v>
      </c>
      <c r="F48" s="78"/>
      <c r="G48" s="79">
        <v>45633</v>
      </c>
      <c r="H48" s="80"/>
      <c r="I48" s="137"/>
      <c r="J48" s="138"/>
      <c r="K48" s="138"/>
      <c r="L48" s="138"/>
      <c r="M48" s="138"/>
      <c r="N48" s="138"/>
      <c r="O48" s="138"/>
      <c r="P48" s="138"/>
      <c r="Q48" s="138"/>
      <c r="R48" s="138"/>
      <c r="S48" s="138"/>
      <c r="T48" s="138"/>
      <c r="U48" s="138"/>
      <c r="V48" s="138"/>
      <c r="W48" s="138"/>
      <c r="X48" s="138"/>
      <c r="Y48" s="138"/>
      <c r="Z48" s="138"/>
    </row>
    <row r="49" spans="1:26" ht="82.8" customHeight="1">
      <c r="A49" s="76" t="str">
        <f t="shared" si="0"/>
        <v>Cart_FU_41</v>
      </c>
      <c r="B49" s="77" t="s">
        <v>164</v>
      </c>
      <c r="C49" s="77" t="s">
        <v>168</v>
      </c>
      <c r="D49" s="77" t="s">
        <v>169</v>
      </c>
      <c r="E49" s="77"/>
      <c r="F49" s="78"/>
      <c r="G49" s="79">
        <v>45633</v>
      </c>
      <c r="H49" s="80"/>
      <c r="I49" s="84"/>
      <c r="J49" s="7"/>
      <c r="K49" s="7"/>
      <c r="L49" s="7"/>
      <c r="M49" s="7"/>
      <c r="N49" s="7"/>
      <c r="O49" s="7"/>
      <c r="P49" s="7"/>
      <c r="Q49" s="7"/>
      <c r="R49" s="7"/>
      <c r="S49" s="7"/>
      <c r="T49" s="7"/>
      <c r="U49" s="7"/>
      <c r="V49" s="7"/>
      <c r="W49" s="7"/>
      <c r="X49" s="7"/>
      <c r="Y49" s="7"/>
      <c r="Z49" s="7"/>
    </row>
    <row r="50" spans="1:26" ht="48.6" customHeight="1">
      <c r="A50" s="76" t="str">
        <f t="shared" si="0"/>
        <v>Cart_FU_42</v>
      </c>
      <c r="B50" s="77" t="s">
        <v>170</v>
      </c>
      <c r="C50" s="77" t="s">
        <v>171</v>
      </c>
      <c r="D50" s="77" t="s">
        <v>167</v>
      </c>
      <c r="E50" s="77"/>
      <c r="F50" s="78"/>
      <c r="G50" s="79">
        <v>45633</v>
      </c>
      <c r="H50" s="80"/>
      <c r="I50" s="84"/>
      <c r="J50" s="7"/>
      <c r="K50" s="7"/>
      <c r="L50" s="7"/>
      <c r="M50" s="7"/>
      <c r="N50" s="7"/>
      <c r="O50" s="7"/>
      <c r="P50" s="7"/>
      <c r="Q50" s="7"/>
      <c r="R50" s="7"/>
      <c r="S50" s="7"/>
      <c r="T50" s="7"/>
      <c r="U50" s="7"/>
      <c r="V50" s="7"/>
      <c r="W50" s="7"/>
      <c r="X50" s="7"/>
      <c r="Y50" s="7"/>
      <c r="Z50" s="7"/>
    </row>
    <row r="51" spans="1:26" ht="48.6" customHeight="1">
      <c r="A51" s="76" t="str">
        <f t="shared" si="0"/>
        <v>Cart_FU_43</v>
      </c>
      <c r="B51" s="77" t="s">
        <v>172</v>
      </c>
      <c r="C51" s="77" t="s">
        <v>173</v>
      </c>
      <c r="D51" s="77" t="s">
        <v>174</v>
      </c>
      <c r="E51" s="77"/>
      <c r="F51" s="78"/>
      <c r="G51" s="79">
        <v>45633</v>
      </c>
      <c r="H51" s="80"/>
      <c r="I51" s="84"/>
      <c r="J51" s="7"/>
      <c r="K51" s="7"/>
      <c r="L51" s="7"/>
      <c r="M51" s="7"/>
      <c r="N51" s="7"/>
      <c r="O51" s="7"/>
      <c r="P51" s="7"/>
      <c r="Q51" s="7"/>
      <c r="R51" s="7"/>
      <c r="S51" s="7"/>
      <c r="T51" s="7"/>
      <c r="U51" s="7"/>
      <c r="V51" s="7"/>
      <c r="W51" s="7"/>
      <c r="X51" s="7"/>
      <c r="Y51" s="7"/>
      <c r="Z51" s="7"/>
    </row>
    <row r="52" spans="1:26" ht="54.6" customHeight="1">
      <c r="A52" s="76" t="str">
        <f t="shared" si="0"/>
        <v>Cart_FU_44</v>
      </c>
      <c r="B52" s="77" t="s">
        <v>175</v>
      </c>
      <c r="C52" s="77" t="s">
        <v>176</v>
      </c>
      <c r="D52" s="77" t="s">
        <v>174</v>
      </c>
      <c r="E52" s="77"/>
      <c r="F52" s="78"/>
      <c r="G52" s="79">
        <v>45633</v>
      </c>
      <c r="H52" s="80"/>
      <c r="I52" s="84"/>
      <c r="J52" s="7"/>
      <c r="K52" s="7"/>
      <c r="L52" s="7"/>
      <c r="M52" s="7"/>
      <c r="N52" s="7"/>
      <c r="O52" s="7"/>
      <c r="P52" s="7"/>
      <c r="Q52" s="7"/>
      <c r="R52" s="7"/>
      <c r="S52" s="7"/>
      <c r="T52" s="7"/>
      <c r="U52" s="7"/>
      <c r="V52" s="7"/>
      <c r="W52" s="7"/>
      <c r="X52" s="7"/>
      <c r="Y52" s="7"/>
      <c r="Z52" s="7"/>
    </row>
    <row r="53" spans="1:26" ht="46.8" customHeight="1">
      <c r="A53" s="76" t="str">
        <f t="shared" si="0"/>
        <v>Cart_FU_45</v>
      </c>
      <c r="B53" s="77" t="s">
        <v>177</v>
      </c>
      <c r="C53" s="77" t="s">
        <v>178</v>
      </c>
      <c r="D53" s="77" t="s">
        <v>174</v>
      </c>
      <c r="E53" s="77"/>
      <c r="F53" s="78"/>
      <c r="G53" s="79">
        <v>45633</v>
      </c>
      <c r="H53" s="80"/>
      <c r="I53" s="84"/>
      <c r="J53" s="7"/>
      <c r="K53" s="7"/>
      <c r="L53" s="7"/>
      <c r="M53" s="7"/>
      <c r="N53" s="7"/>
      <c r="O53" s="7"/>
      <c r="P53" s="7"/>
      <c r="Q53" s="7"/>
      <c r="R53" s="7"/>
      <c r="S53" s="7"/>
      <c r="T53" s="7"/>
      <c r="U53" s="7"/>
      <c r="V53" s="7"/>
      <c r="W53" s="7"/>
      <c r="X53" s="7"/>
      <c r="Y53" s="7"/>
      <c r="Z53" s="7"/>
    </row>
    <row r="54" spans="1:26" ht="64.2" customHeight="1">
      <c r="A54" s="76" t="str">
        <f t="shared" si="0"/>
        <v>Cart_FU_46</v>
      </c>
      <c r="B54" s="77" t="s">
        <v>179</v>
      </c>
      <c r="C54" s="77" t="s">
        <v>180</v>
      </c>
      <c r="D54" s="77" t="s">
        <v>181</v>
      </c>
      <c r="E54" s="77"/>
      <c r="F54" s="78"/>
      <c r="G54" s="79">
        <v>45633</v>
      </c>
      <c r="H54" s="80"/>
      <c r="I54" s="84"/>
      <c r="J54" s="7"/>
      <c r="K54" s="7"/>
      <c r="L54" s="7"/>
      <c r="M54" s="7"/>
      <c r="N54" s="7"/>
      <c r="O54" s="7"/>
      <c r="P54" s="7"/>
      <c r="Q54" s="7"/>
      <c r="R54" s="7"/>
      <c r="S54" s="7"/>
      <c r="T54" s="7"/>
      <c r="U54" s="7"/>
      <c r="V54" s="7"/>
      <c r="W54" s="7"/>
      <c r="X54" s="7"/>
      <c r="Y54" s="7"/>
      <c r="Z54" s="7"/>
    </row>
    <row r="55" spans="1:26" ht="72" customHeight="1">
      <c r="A55" s="76" t="str">
        <f t="shared" si="0"/>
        <v>Cart_FU_47</v>
      </c>
      <c r="B55" s="77" t="s">
        <v>182</v>
      </c>
      <c r="C55" s="77" t="s">
        <v>183</v>
      </c>
      <c r="D55" s="77" t="s">
        <v>184</v>
      </c>
      <c r="E55" s="77"/>
      <c r="F55" s="78"/>
      <c r="G55" s="79">
        <v>45633</v>
      </c>
      <c r="H55" s="80"/>
      <c r="I55" s="84"/>
      <c r="J55" s="7"/>
      <c r="K55" s="7"/>
      <c r="L55" s="7"/>
      <c r="M55" s="7"/>
      <c r="N55" s="7"/>
      <c r="O55" s="7"/>
      <c r="P55" s="7"/>
      <c r="Q55" s="7"/>
      <c r="R55" s="7"/>
      <c r="S55" s="7"/>
      <c r="T55" s="7"/>
      <c r="U55" s="7"/>
      <c r="V55" s="7"/>
      <c r="W55" s="7"/>
      <c r="X55" s="7"/>
      <c r="Y55" s="7"/>
      <c r="Z55" s="7"/>
    </row>
    <row r="56" spans="1:26" ht="57" customHeight="1">
      <c r="A56" s="76" t="str">
        <f t="shared" si="0"/>
        <v>Cart_FU_48</v>
      </c>
      <c r="B56" s="77" t="s">
        <v>185</v>
      </c>
      <c r="C56" s="77" t="s">
        <v>186</v>
      </c>
      <c r="D56" s="77" t="s">
        <v>187</v>
      </c>
      <c r="E56" s="77"/>
      <c r="F56" s="78"/>
      <c r="G56" s="79">
        <v>45633</v>
      </c>
      <c r="H56" s="80"/>
      <c r="I56" s="84"/>
      <c r="J56" s="7"/>
      <c r="K56" s="7"/>
      <c r="L56" s="7"/>
      <c r="M56" s="7"/>
      <c r="N56" s="7"/>
      <c r="O56" s="7"/>
      <c r="P56" s="7"/>
      <c r="Q56" s="7"/>
      <c r="R56" s="7"/>
      <c r="S56" s="7"/>
      <c r="T56" s="7"/>
      <c r="U56" s="7"/>
      <c r="V56" s="7"/>
      <c r="W56" s="7"/>
      <c r="X56" s="7"/>
      <c r="Y56" s="7"/>
      <c r="Z56" s="7"/>
    </row>
    <row r="57" spans="1:26" ht="96.6" customHeight="1">
      <c r="A57" s="76" t="str">
        <f t="shared" si="0"/>
        <v>Cart_FU_49</v>
      </c>
      <c r="B57" s="77" t="s">
        <v>188</v>
      </c>
      <c r="C57" s="77" t="s">
        <v>196</v>
      </c>
      <c r="D57" s="77" t="s">
        <v>195</v>
      </c>
      <c r="E57" s="77"/>
      <c r="F57" s="78"/>
      <c r="G57" s="79">
        <v>45633</v>
      </c>
      <c r="H57" s="80"/>
      <c r="I57" s="84"/>
      <c r="J57" s="7"/>
      <c r="K57" s="7"/>
      <c r="L57" s="7"/>
      <c r="M57" s="7"/>
      <c r="N57" s="7"/>
      <c r="O57" s="7"/>
      <c r="P57" s="7"/>
      <c r="Q57" s="7"/>
      <c r="R57" s="7"/>
      <c r="S57" s="7"/>
      <c r="T57" s="7"/>
      <c r="U57" s="7"/>
      <c r="V57" s="7"/>
      <c r="W57" s="7"/>
      <c r="X57" s="7"/>
      <c r="Y57" s="7"/>
      <c r="Z57" s="7"/>
    </row>
    <row r="58" spans="1:26" ht="89.4" customHeight="1">
      <c r="A58" s="76" t="str">
        <f t="shared" si="0"/>
        <v>Cart_FU_50</v>
      </c>
      <c r="B58" s="77" t="s">
        <v>194</v>
      </c>
      <c r="C58" s="77" t="s">
        <v>197</v>
      </c>
      <c r="D58" s="77" t="s">
        <v>198</v>
      </c>
      <c r="E58" s="77"/>
      <c r="F58" s="78"/>
      <c r="G58" s="79">
        <v>45633</v>
      </c>
      <c r="H58" s="80"/>
      <c r="I58" s="84"/>
      <c r="J58" s="7"/>
      <c r="K58" s="7"/>
      <c r="L58" s="7"/>
      <c r="M58" s="7"/>
      <c r="N58" s="7"/>
      <c r="O58" s="7"/>
      <c r="P58" s="7"/>
      <c r="Q58" s="7"/>
      <c r="R58" s="7"/>
      <c r="S58" s="7"/>
      <c r="T58" s="7"/>
      <c r="U58" s="7"/>
      <c r="V58" s="7"/>
      <c r="W58" s="7"/>
      <c r="X58" s="7"/>
      <c r="Y58" s="7"/>
      <c r="Z58" s="7"/>
    </row>
    <row r="59" spans="1:26" ht="143.4" customHeight="1">
      <c r="A59" s="76" t="str">
        <f t="shared" si="0"/>
        <v>Cart_FU_51</v>
      </c>
      <c r="B59" s="77" t="s">
        <v>199</v>
      </c>
      <c r="C59" s="77" t="s">
        <v>200</v>
      </c>
      <c r="D59" s="77" t="s">
        <v>201</v>
      </c>
      <c r="E59" s="77"/>
      <c r="F59" s="78"/>
      <c r="G59" s="79">
        <v>45633</v>
      </c>
      <c r="H59" s="80"/>
      <c r="I59" s="84"/>
      <c r="J59" s="7"/>
      <c r="K59" s="7"/>
      <c r="L59" s="7"/>
      <c r="M59" s="7"/>
      <c r="N59" s="7"/>
      <c r="O59" s="7"/>
      <c r="P59" s="7"/>
      <c r="Q59" s="7"/>
      <c r="R59" s="7"/>
      <c r="S59" s="7"/>
      <c r="T59" s="7"/>
      <c r="U59" s="7"/>
      <c r="V59" s="7"/>
      <c r="W59" s="7"/>
      <c r="X59" s="7"/>
      <c r="Y59" s="7"/>
      <c r="Z59" s="7"/>
    </row>
    <row r="60" spans="1:26" ht="147" customHeight="1">
      <c r="A60" s="76" t="str">
        <f t="shared" si="0"/>
        <v>Cart_FU_52</v>
      </c>
      <c r="B60" s="77" t="s">
        <v>202</v>
      </c>
      <c r="C60" s="77" t="s">
        <v>203</v>
      </c>
      <c r="D60" s="77" t="s">
        <v>204</v>
      </c>
      <c r="E60" s="77"/>
      <c r="F60" s="78"/>
      <c r="G60" s="79">
        <v>45633</v>
      </c>
      <c r="H60" s="80"/>
      <c r="I60" s="84"/>
      <c r="J60" s="7"/>
      <c r="K60" s="7"/>
      <c r="L60" s="7"/>
      <c r="M60" s="7"/>
      <c r="N60" s="7"/>
      <c r="O60" s="7"/>
      <c r="P60" s="7"/>
      <c r="Q60" s="7"/>
      <c r="R60" s="7"/>
      <c r="S60" s="7"/>
      <c r="T60" s="7"/>
      <c r="U60" s="7"/>
      <c r="V60" s="7"/>
      <c r="W60" s="7"/>
      <c r="X60" s="7"/>
      <c r="Y60" s="7"/>
      <c r="Z60" s="7"/>
    </row>
    <row r="61" spans="1:26" ht="46.8" customHeight="1">
      <c r="A61" s="76" t="str">
        <f t="shared" si="0"/>
        <v>Cart_FU_53</v>
      </c>
      <c r="B61" s="77" t="s">
        <v>205</v>
      </c>
      <c r="C61" s="77" t="s">
        <v>206</v>
      </c>
      <c r="D61" s="77" t="s">
        <v>211</v>
      </c>
      <c r="E61" s="77"/>
      <c r="F61" s="78"/>
      <c r="G61" s="79">
        <v>45633</v>
      </c>
      <c r="H61" s="80"/>
      <c r="I61" s="84"/>
      <c r="J61" s="7"/>
      <c r="K61" s="7"/>
      <c r="L61" s="7"/>
      <c r="M61" s="7"/>
      <c r="N61" s="7"/>
      <c r="O61" s="7"/>
      <c r="P61" s="7"/>
      <c r="Q61" s="7"/>
      <c r="R61" s="7"/>
      <c r="S61" s="7"/>
      <c r="T61" s="7"/>
      <c r="U61" s="7"/>
      <c r="V61" s="7"/>
      <c r="W61" s="7"/>
      <c r="X61" s="7"/>
      <c r="Y61" s="7"/>
      <c r="Z61" s="7"/>
    </row>
    <row r="62" spans="1:26" ht="58.2" customHeight="1">
      <c r="A62" s="76" t="str">
        <f t="shared" si="0"/>
        <v>Cart_FU_54</v>
      </c>
      <c r="B62" s="77" t="s">
        <v>210</v>
      </c>
      <c r="C62" s="77" t="s">
        <v>207</v>
      </c>
      <c r="D62" s="77" t="s">
        <v>217</v>
      </c>
      <c r="E62" s="77"/>
      <c r="F62" s="78"/>
      <c r="G62" s="79">
        <v>45633</v>
      </c>
      <c r="H62" s="80"/>
      <c r="I62" s="84"/>
      <c r="J62" s="7"/>
      <c r="K62" s="7"/>
      <c r="L62" s="7"/>
      <c r="M62" s="7"/>
      <c r="N62" s="7"/>
      <c r="O62" s="7"/>
      <c r="P62" s="7"/>
      <c r="Q62" s="7"/>
      <c r="R62" s="7"/>
      <c r="S62" s="7"/>
      <c r="T62" s="7"/>
      <c r="U62" s="7"/>
      <c r="V62" s="7"/>
      <c r="W62" s="7"/>
      <c r="X62" s="7"/>
      <c r="Y62" s="7"/>
      <c r="Z62" s="7"/>
    </row>
    <row r="63" spans="1:26" ht="44.4" customHeight="1">
      <c r="A63" s="76" t="str">
        <f t="shared" si="0"/>
        <v>Cart_FU_55</v>
      </c>
      <c r="B63" s="77" t="s">
        <v>208</v>
      </c>
      <c r="C63" s="77" t="s">
        <v>209</v>
      </c>
      <c r="D63" s="77" t="s">
        <v>218</v>
      </c>
      <c r="E63" s="77"/>
      <c r="F63" s="78"/>
      <c r="G63" s="79">
        <v>45633</v>
      </c>
      <c r="H63" s="80"/>
      <c r="I63" s="84"/>
      <c r="J63" s="7"/>
      <c r="K63" s="7"/>
      <c r="L63" s="7"/>
      <c r="M63" s="7"/>
      <c r="N63" s="7"/>
      <c r="O63" s="7"/>
      <c r="P63" s="7"/>
      <c r="Q63" s="7"/>
      <c r="R63" s="7"/>
      <c r="S63" s="7"/>
      <c r="T63" s="7"/>
      <c r="U63" s="7"/>
      <c r="V63" s="7"/>
      <c r="W63" s="7"/>
      <c r="X63" s="7"/>
      <c r="Y63" s="7"/>
      <c r="Z63" s="7"/>
    </row>
    <row r="64" spans="1:26" ht="28.8" customHeight="1">
      <c r="A64" s="76" t="str">
        <f t="shared" si="0"/>
        <v>Cart_FU_56</v>
      </c>
      <c r="B64" s="77" t="s">
        <v>215</v>
      </c>
      <c r="C64" s="77" t="s">
        <v>216</v>
      </c>
      <c r="D64" s="77" t="s">
        <v>219</v>
      </c>
      <c r="E64" s="77"/>
      <c r="F64" s="78"/>
      <c r="G64" s="79">
        <v>45633</v>
      </c>
      <c r="H64" s="80"/>
      <c r="I64" s="84"/>
      <c r="J64" s="7"/>
      <c r="K64" s="7"/>
      <c r="L64" s="7"/>
      <c r="M64" s="7"/>
      <c r="N64" s="7"/>
      <c r="O64" s="7"/>
      <c r="P64" s="7"/>
      <c r="Q64" s="7"/>
      <c r="R64" s="7"/>
      <c r="S64" s="7"/>
      <c r="T64" s="7"/>
      <c r="U64" s="7"/>
      <c r="V64" s="7"/>
      <c r="W64" s="7"/>
      <c r="X64" s="7"/>
      <c r="Y64" s="7"/>
      <c r="Z64" s="7"/>
    </row>
    <row r="65" spans="1:26" ht="48.6" customHeight="1">
      <c r="A65" s="76" t="str">
        <f t="shared" si="0"/>
        <v>Cart_FU_57</v>
      </c>
      <c r="B65" s="77" t="s">
        <v>220</v>
      </c>
      <c r="C65" s="77" t="s">
        <v>221</v>
      </c>
      <c r="D65" s="77" t="s">
        <v>219</v>
      </c>
      <c r="E65" s="77"/>
      <c r="F65" s="78"/>
      <c r="G65" s="79">
        <v>45633</v>
      </c>
      <c r="H65" s="80"/>
      <c r="I65" s="84"/>
      <c r="J65" s="7"/>
      <c r="K65" s="7"/>
      <c r="L65" s="7"/>
      <c r="M65" s="7"/>
      <c r="N65" s="7"/>
      <c r="O65" s="7"/>
      <c r="P65" s="7"/>
      <c r="Q65" s="7"/>
      <c r="R65" s="7"/>
      <c r="S65" s="7"/>
      <c r="T65" s="7"/>
      <c r="U65" s="7"/>
      <c r="V65" s="7"/>
      <c r="W65" s="7"/>
      <c r="X65" s="7"/>
      <c r="Y65" s="7"/>
      <c r="Z65" s="7"/>
    </row>
    <row r="66" spans="1:26" ht="55.8" customHeight="1">
      <c r="A66" s="76" t="str">
        <f t="shared" si="0"/>
        <v>Cart_FU_58</v>
      </c>
      <c r="B66" s="77" t="s">
        <v>222</v>
      </c>
      <c r="C66" s="77" t="s">
        <v>225</v>
      </c>
      <c r="D66" s="77" t="s">
        <v>223</v>
      </c>
      <c r="E66" s="77"/>
      <c r="F66" s="78"/>
      <c r="G66" s="79">
        <v>45633</v>
      </c>
      <c r="H66" s="80"/>
      <c r="I66" s="84"/>
      <c r="J66" s="7"/>
      <c r="K66" s="7"/>
      <c r="L66" s="7"/>
      <c r="M66" s="7"/>
      <c r="N66" s="7"/>
      <c r="O66" s="7"/>
      <c r="P66" s="7"/>
      <c r="Q66" s="7"/>
      <c r="R66" s="7"/>
      <c r="S66" s="7"/>
      <c r="T66" s="7"/>
      <c r="U66" s="7"/>
      <c r="V66" s="7"/>
      <c r="W66" s="7"/>
      <c r="X66" s="7"/>
      <c r="Y66" s="7"/>
      <c r="Z66" s="7"/>
    </row>
    <row r="67" spans="1:26" ht="78" customHeight="1">
      <c r="A67" s="76" t="str">
        <f t="shared" si="0"/>
        <v>Cart_FU_59</v>
      </c>
      <c r="B67" s="77" t="s">
        <v>224</v>
      </c>
      <c r="C67" s="77" t="s">
        <v>227</v>
      </c>
      <c r="D67" s="77" t="s">
        <v>223</v>
      </c>
      <c r="E67" s="77"/>
      <c r="F67" s="78"/>
      <c r="G67" s="79">
        <v>45633</v>
      </c>
      <c r="H67" s="80"/>
      <c r="I67" s="84"/>
      <c r="J67" s="7"/>
      <c r="K67" s="7"/>
      <c r="L67" s="7"/>
      <c r="M67" s="7"/>
      <c r="N67" s="7"/>
      <c r="O67" s="7"/>
      <c r="P67" s="7"/>
      <c r="Q67" s="7"/>
      <c r="R67" s="7"/>
      <c r="S67" s="7"/>
      <c r="T67" s="7"/>
      <c r="U67" s="7"/>
      <c r="V67" s="7"/>
      <c r="W67" s="7"/>
      <c r="X67" s="7"/>
      <c r="Y67" s="7"/>
      <c r="Z67" s="7"/>
    </row>
    <row r="68" spans="1:26" ht="73.8" customHeight="1">
      <c r="A68" s="76" t="str">
        <f t="shared" si="0"/>
        <v>Cart_FU_60</v>
      </c>
      <c r="B68" s="77" t="s">
        <v>226</v>
      </c>
      <c r="C68" s="77" t="s">
        <v>228</v>
      </c>
      <c r="D68" s="77" t="s">
        <v>229</v>
      </c>
      <c r="E68" s="77"/>
      <c r="F68" s="78"/>
      <c r="G68" s="79">
        <v>45633</v>
      </c>
      <c r="H68" s="80"/>
      <c r="I68" s="84"/>
      <c r="J68" s="7"/>
      <c r="K68" s="7"/>
      <c r="L68" s="7"/>
      <c r="M68" s="7"/>
      <c r="N68" s="7"/>
      <c r="O68" s="7"/>
      <c r="P68" s="7"/>
      <c r="Q68" s="7"/>
      <c r="R68" s="7"/>
      <c r="S68" s="7"/>
      <c r="T68" s="7"/>
      <c r="U68" s="7"/>
      <c r="V68" s="7"/>
      <c r="W68" s="7"/>
      <c r="X68" s="7"/>
      <c r="Y68" s="7"/>
      <c r="Z68" s="7"/>
    </row>
    <row r="69" spans="1:26" ht="46.8" customHeight="1">
      <c r="A69" s="76" t="str">
        <f t="shared" si="0"/>
        <v>Cart_FU_61</v>
      </c>
      <c r="B69" s="77" t="s">
        <v>230</v>
      </c>
      <c r="C69" s="77" t="s">
        <v>231</v>
      </c>
      <c r="D69" s="77" t="s">
        <v>232</v>
      </c>
      <c r="E69" s="77"/>
      <c r="F69" s="78"/>
      <c r="G69" s="79">
        <v>45633</v>
      </c>
      <c r="H69" s="80"/>
      <c r="I69" s="84"/>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4"/>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4"/>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4"/>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4"/>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4"/>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4"/>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4"/>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4"/>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4"/>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4"/>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4"/>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4"/>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4"/>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4"/>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4"/>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4"/>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4"/>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4"/>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4"/>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4"/>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4"/>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4"/>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4"/>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4"/>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4"/>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4"/>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4"/>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4"/>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4"/>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4"/>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4"/>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4"/>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4"/>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4"/>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4"/>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4"/>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4"/>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4"/>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4"/>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4"/>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4"/>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4"/>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4"/>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4"/>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4"/>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4"/>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4"/>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4"/>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4"/>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4"/>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4"/>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4"/>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4"/>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4"/>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4"/>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4"/>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4"/>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4"/>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4"/>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4"/>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4"/>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4"/>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4"/>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4"/>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4"/>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4"/>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4"/>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4"/>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4"/>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4"/>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4"/>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4"/>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4"/>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4"/>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4"/>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4"/>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4"/>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4"/>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4"/>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4"/>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4"/>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4"/>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4"/>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4"/>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4"/>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4"/>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4"/>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4"/>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4"/>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4"/>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4"/>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4"/>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4"/>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4"/>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4"/>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4"/>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4"/>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4"/>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4"/>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4"/>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4"/>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4"/>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4"/>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4"/>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4"/>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4"/>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4"/>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4"/>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4"/>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4"/>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4"/>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4"/>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4"/>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4"/>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4"/>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4"/>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4"/>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4"/>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4"/>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4"/>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4"/>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4"/>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4"/>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4"/>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4"/>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4"/>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4"/>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4"/>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4"/>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4"/>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4"/>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4"/>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4"/>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4"/>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4"/>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4"/>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4"/>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4"/>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4"/>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4"/>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4"/>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4"/>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4"/>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4"/>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4"/>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4"/>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4"/>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4"/>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4"/>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4"/>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4"/>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4"/>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4"/>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4"/>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4"/>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4"/>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4"/>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4"/>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4"/>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4"/>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4"/>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4"/>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4"/>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4"/>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4"/>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4"/>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4"/>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4"/>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4"/>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4"/>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4"/>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4"/>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4"/>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4"/>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4"/>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4"/>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4"/>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4"/>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4"/>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4"/>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4"/>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4"/>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4"/>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4"/>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4"/>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4"/>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4"/>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4"/>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4"/>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4"/>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4"/>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4"/>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4"/>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4"/>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4"/>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4"/>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4"/>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4"/>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4"/>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4"/>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4"/>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4"/>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4"/>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4"/>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4"/>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4"/>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4"/>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4"/>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4"/>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4"/>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4"/>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4"/>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4"/>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4"/>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4"/>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4"/>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4"/>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4"/>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4"/>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4"/>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4"/>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4"/>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4"/>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4"/>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4"/>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4"/>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4"/>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4"/>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4"/>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4"/>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4"/>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4"/>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4"/>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4"/>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4"/>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4"/>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4"/>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4"/>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4"/>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4"/>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4"/>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4"/>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4"/>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4"/>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4"/>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4"/>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4"/>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4"/>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4"/>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4"/>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4"/>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4"/>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4"/>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4"/>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4"/>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4"/>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4"/>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4"/>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4"/>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4"/>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4"/>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4"/>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4"/>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4"/>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4"/>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4"/>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4"/>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4"/>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4"/>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4"/>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4"/>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4"/>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4"/>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4"/>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4"/>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4"/>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4"/>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4"/>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4"/>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4"/>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4"/>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4"/>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4"/>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4"/>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4"/>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4"/>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4"/>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4"/>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4"/>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4"/>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4"/>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4"/>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4"/>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4"/>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4"/>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4"/>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4"/>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4"/>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4"/>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4"/>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4"/>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4"/>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4"/>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4"/>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4"/>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4"/>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4"/>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4"/>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4"/>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4"/>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4"/>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4"/>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4"/>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4"/>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4"/>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4"/>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4"/>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4"/>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4"/>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4"/>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4"/>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4"/>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4"/>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4"/>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4"/>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4"/>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4"/>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4"/>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4"/>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4"/>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4"/>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4"/>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4"/>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4"/>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4"/>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4"/>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4"/>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4"/>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4"/>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4"/>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4"/>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4"/>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4"/>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4"/>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4"/>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4"/>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4"/>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4"/>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4"/>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4"/>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4"/>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4"/>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4"/>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4"/>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4"/>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4"/>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4"/>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4"/>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4"/>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4"/>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4"/>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4"/>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4"/>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4"/>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4"/>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4"/>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4"/>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4"/>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4"/>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4"/>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4"/>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4"/>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4"/>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4"/>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4"/>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4"/>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4"/>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4"/>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4"/>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4"/>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4"/>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4"/>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4"/>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4"/>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4"/>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4"/>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4"/>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4"/>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4"/>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4"/>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4"/>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4"/>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4"/>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4"/>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4"/>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4"/>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4"/>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4"/>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4"/>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4"/>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4"/>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4"/>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4"/>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4"/>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4"/>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4"/>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4"/>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4"/>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4"/>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4"/>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4"/>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4"/>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4"/>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4"/>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4"/>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4"/>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4"/>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4"/>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4"/>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4"/>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4"/>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4"/>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4"/>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4"/>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4"/>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4"/>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4"/>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4"/>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4"/>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4"/>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4"/>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4"/>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4"/>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4"/>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4"/>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4"/>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4"/>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4"/>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4"/>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4"/>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4"/>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4"/>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4"/>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4"/>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4"/>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4"/>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4"/>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4"/>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4"/>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4"/>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4"/>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4"/>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4"/>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4"/>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4"/>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4"/>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4"/>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4"/>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4"/>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4"/>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4"/>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4"/>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4"/>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4"/>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4"/>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4"/>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4"/>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4"/>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4"/>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4"/>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4"/>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4"/>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4"/>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4"/>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4"/>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4"/>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4"/>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4"/>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4"/>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4"/>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4"/>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4"/>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4"/>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4"/>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4"/>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4"/>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4"/>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4"/>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4"/>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4"/>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4"/>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4"/>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4"/>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4"/>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4"/>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4"/>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4"/>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4"/>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4"/>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4"/>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4"/>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4"/>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4"/>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4"/>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4"/>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4"/>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4"/>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4"/>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4"/>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4"/>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4"/>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4"/>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4"/>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4"/>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4"/>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4"/>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4"/>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4"/>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4"/>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4"/>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4"/>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4"/>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4"/>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4"/>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4"/>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4"/>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4"/>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4"/>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4"/>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4"/>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4"/>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4"/>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4"/>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4"/>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4"/>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4"/>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4"/>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4"/>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4"/>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4"/>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4"/>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4"/>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4"/>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4"/>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4"/>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4"/>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4"/>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4"/>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4"/>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4"/>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4"/>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4"/>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4"/>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4"/>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4"/>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4"/>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4"/>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4"/>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4"/>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4"/>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4"/>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4"/>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4"/>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4"/>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4"/>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4"/>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4"/>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4"/>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4"/>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4"/>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4"/>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4"/>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4"/>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4"/>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4"/>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4"/>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4"/>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4"/>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4"/>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4"/>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4"/>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4"/>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4"/>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4"/>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4"/>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4"/>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4"/>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4"/>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4"/>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4"/>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4"/>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4"/>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4"/>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4"/>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4"/>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4"/>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4"/>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4"/>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4"/>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4"/>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4"/>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4"/>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4"/>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4"/>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4"/>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4"/>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4"/>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4"/>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4"/>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4"/>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4"/>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4"/>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4"/>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4"/>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4"/>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4"/>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4"/>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4"/>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4"/>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4"/>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4"/>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4"/>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4"/>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4"/>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4"/>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4"/>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4"/>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4"/>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4"/>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4"/>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4"/>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4"/>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4"/>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4"/>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4"/>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4"/>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4"/>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4"/>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4"/>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4"/>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4"/>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4"/>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4"/>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4"/>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4"/>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4"/>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4"/>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4"/>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4"/>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4"/>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4"/>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4"/>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4"/>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4"/>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4"/>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4"/>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4"/>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4"/>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4"/>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4"/>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4"/>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4"/>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4"/>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4"/>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4"/>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4"/>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4"/>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4"/>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4"/>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4"/>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4"/>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4"/>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4"/>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4"/>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4"/>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4"/>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4"/>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4"/>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4"/>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4"/>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4"/>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4"/>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4"/>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4"/>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4"/>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4"/>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4"/>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4"/>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4"/>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4"/>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4"/>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4"/>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4"/>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4"/>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4"/>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4"/>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4"/>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4"/>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4"/>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4"/>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4"/>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4"/>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4"/>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4"/>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4"/>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4"/>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4"/>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4"/>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4"/>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4"/>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4"/>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4"/>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4"/>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4"/>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4"/>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4"/>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4"/>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4"/>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4"/>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4"/>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4"/>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4"/>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4"/>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4"/>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4"/>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4"/>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4"/>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4"/>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4"/>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4"/>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4"/>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4"/>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4"/>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4"/>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4"/>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4"/>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4"/>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4"/>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4"/>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4"/>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4"/>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4"/>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4"/>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4"/>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4"/>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4"/>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4"/>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4"/>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4"/>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4"/>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4"/>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4"/>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4"/>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4"/>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4"/>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4"/>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4"/>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4"/>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4"/>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4"/>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4"/>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4"/>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4"/>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4"/>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4"/>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4"/>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4"/>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4"/>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4"/>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4"/>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4"/>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4"/>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4"/>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4"/>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4"/>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4"/>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4"/>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4"/>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4"/>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4"/>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4"/>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4"/>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4"/>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4"/>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4"/>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4"/>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4"/>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4"/>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4"/>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4"/>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4"/>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4"/>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4"/>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4"/>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4"/>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4"/>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4"/>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4"/>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4"/>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4"/>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4"/>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4"/>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4"/>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4"/>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4"/>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4"/>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4"/>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4"/>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4"/>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4"/>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4"/>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4"/>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4"/>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4"/>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4"/>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4"/>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4"/>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4"/>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4"/>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4"/>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4"/>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4"/>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4"/>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4"/>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4"/>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4"/>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4"/>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4"/>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4"/>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4"/>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4"/>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4"/>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4"/>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4"/>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4"/>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4"/>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4"/>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4"/>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4"/>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4"/>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4"/>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4"/>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4"/>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4"/>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4"/>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4"/>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4"/>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4"/>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4"/>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4"/>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4"/>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4"/>
      <c r="J921" s="7"/>
      <c r="K921" s="7"/>
      <c r="L921" s="7"/>
      <c r="M921" s="7"/>
      <c r="N921" s="7"/>
      <c r="O921" s="7"/>
      <c r="P921" s="7"/>
      <c r="Q921" s="7"/>
      <c r="R921" s="7"/>
      <c r="S921" s="7"/>
      <c r="T921" s="7"/>
      <c r="U921" s="7"/>
      <c r="V921" s="7"/>
      <c r="W921" s="7"/>
      <c r="X921" s="7"/>
      <c r="Y921" s="7"/>
      <c r="Z921" s="7"/>
    </row>
    <row r="922" spans="1:26" ht="15" customHeight="1">
      <c r="A922" s="7"/>
      <c r="B922" s="7"/>
      <c r="C922" s="7"/>
      <c r="D922" s="7"/>
      <c r="E922" s="7"/>
      <c r="F922" s="7"/>
      <c r="G922" s="7"/>
      <c r="H922" s="7"/>
    </row>
    <row r="923" spans="1:26" ht="15" customHeight="1">
      <c r="A923" s="7"/>
      <c r="B923" s="7"/>
      <c r="C923" s="7"/>
      <c r="D923" s="7"/>
      <c r="E923" s="7"/>
      <c r="F923" s="7"/>
      <c r="G923" s="7"/>
      <c r="H923" s="7"/>
    </row>
    <row r="924" spans="1:26" ht="15" customHeight="1">
      <c r="A924" s="7"/>
      <c r="B924" s="7"/>
      <c r="C924" s="7"/>
      <c r="D924" s="7"/>
      <c r="E924" s="7"/>
      <c r="F924" s="7"/>
      <c r="G924" s="7"/>
      <c r="H924" s="7"/>
    </row>
    <row r="925" spans="1:26" ht="15" customHeight="1">
      <c r="A925" s="7"/>
      <c r="B925" s="7"/>
      <c r="C925" s="7"/>
      <c r="D925" s="7"/>
      <c r="E925" s="7"/>
      <c r="F925" s="7"/>
      <c r="G925" s="7"/>
      <c r="H925" s="7"/>
    </row>
    <row r="926" spans="1:26" ht="15" customHeight="1">
      <c r="A926" s="7"/>
      <c r="B926" s="7"/>
      <c r="C926" s="7"/>
      <c r="D926" s="7"/>
      <c r="E926" s="7"/>
      <c r="F926" s="7"/>
      <c r="G926" s="7"/>
      <c r="H926" s="7"/>
    </row>
    <row r="927" spans="1:26" ht="15" customHeight="1">
      <c r="A927" s="7"/>
      <c r="B927" s="7"/>
      <c r="C927" s="7"/>
      <c r="D927" s="7"/>
      <c r="E927" s="7"/>
      <c r="F927" s="7"/>
      <c r="G927" s="7"/>
      <c r="H927" s="7"/>
    </row>
    <row r="928" spans="1:26" ht="15" customHeight="1">
      <c r="A928" s="7"/>
      <c r="B928" s="7"/>
      <c r="C928" s="7"/>
      <c r="D928" s="7"/>
      <c r="E928" s="7"/>
      <c r="F928" s="7"/>
      <c r="G928" s="7"/>
      <c r="H928" s="7"/>
    </row>
    <row r="929" spans="1:8" ht="15" customHeight="1">
      <c r="A929" s="7"/>
      <c r="B929" s="7"/>
      <c r="C929" s="7"/>
      <c r="D929" s="7"/>
      <c r="E929" s="7"/>
      <c r="F929" s="7"/>
      <c r="G929" s="7"/>
      <c r="H929" s="7"/>
    </row>
    <row r="930" spans="1:8" ht="15" customHeight="1">
      <c r="A930" s="7"/>
      <c r="B930" s="7"/>
      <c r="C930" s="7"/>
      <c r="D930" s="7"/>
      <c r="E930" s="7"/>
      <c r="F930" s="7"/>
      <c r="G930" s="7"/>
      <c r="H930" s="7"/>
    </row>
    <row r="931" spans="1:8" ht="15" customHeight="1">
      <c r="A931" s="7"/>
      <c r="B931" s="7"/>
      <c r="C931" s="7"/>
      <c r="D931" s="7"/>
      <c r="E931" s="7"/>
      <c r="F931" s="7"/>
      <c r="G931" s="7"/>
      <c r="H931" s="7"/>
    </row>
    <row r="932" spans="1:8" ht="15" customHeight="1">
      <c r="A932" s="7"/>
      <c r="B932" s="7"/>
      <c r="C932" s="7"/>
      <c r="D932" s="7"/>
      <c r="E932" s="7"/>
      <c r="F932" s="7"/>
      <c r="G932" s="7"/>
      <c r="H932" s="7"/>
    </row>
    <row r="933" spans="1:8" ht="15" customHeight="1">
      <c r="A933" s="7"/>
      <c r="B933" s="7"/>
      <c r="C933" s="7"/>
      <c r="D933" s="7"/>
      <c r="E933" s="7"/>
      <c r="F933" s="7"/>
      <c r="G933" s="7"/>
      <c r="H933" s="7"/>
    </row>
    <row r="934" spans="1:8" ht="15" customHeight="1">
      <c r="A934" s="7"/>
      <c r="B934" s="7"/>
      <c r="C934" s="7"/>
      <c r="D934" s="7"/>
      <c r="E934" s="7"/>
      <c r="F934" s="7"/>
      <c r="G934" s="7"/>
      <c r="H934" s="7"/>
    </row>
    <row r="935" spans="1:8" ht="15" customHeight="1">
      <c r="A935" s="7"/>
      <c r="B935" s="7"/>
      <c r="C935" s="7"/>
      <c r="D935" s="7"/>
      <c r="E935" s="7"/>
      <c r="F935" s="7"/>
      <c r="G935" s="7"/>
      <c r="H935" s="7"/>
    </row>
    <row r="936" spans="1:8" ht="15" customHeight="1">
      <c r="A936" s="7"/>
      <c r="B936" s="7"/>
      <c r="C936" s="7"/>
      <c r="D936" s="7"/>
      <c r="E936" s="7"/>
      <c r="F936" s="7"/>
      <c r="G936" s="7"/>
      <c r="H936" s="7"/>
    </row>
    <row r="937" spans="1:8" ht="15" customHeight="1">
      <c r="A937" s="7"/>
      <c r="B937" s="7"/>
      <c r="C937" s="7"/>
      <c r="D937" s="7"/>
      <c r="E937" s="7"/>
      <c r="F937" s="7"/>
      <c r="G937" s="7"/>
      <c r="H937" s="7"/>
    </row>
    <row r="938" spans="1:8" ht="15" customHeight="1">
      <c r="A938" s="7"/>
      <c r="B938" s="7"/>
      <c r="C938" s="7"/>
      <c r="D938" s="7"/>
      <c r="E938" s="7"/>
      <c r="F938" s="7"/>
      <c r="G938" s="7"/>
      <c r="H938" s="7"/>
    </row>
    <row r="939" spans="1:8" ht="15" customHeight="1">
      <c r="A939" s="7"/>
      <c r="B939" s="7"/>
      <c r="C939" s="7"/>
      <c r="D939" s="7"/>
      <c r="E939" s="7"/>
      <c r="F939" s="7"/>
      <c r="G939" s="7"/>
      <c r="H939" s="7"/>
    </row>
    <row r="940" spans="1:8" ht="15" customHeight="1">
      <c r="A940" s="7"/>
      <c r="B940" s="7"/>
      <c r="C940" s="7"/>
      <c r="D940" s="7"/>
      <c r="E940" s="7"/>
      <c r="F940" s="7"/>
      <c r="G940" s="7"/>
      <c r="H940" s="7"/>
    </row>
    <row r="941" spans="1:8" ht="15" customHeight="1">
      <c r="A941" s="7"/>
      <c r="B941" s="7"/>
      <c r="C941" s="7"/>
      <c r="D941" s="7"/>
      <c r="E941" s="7"/>
      <c r="F941" s="7"/>
      <c r="G941" s="7"/>
      <c r="H941" s="7"/>
    </row>
    <row r="942" spans="1:8" ht="15" customHeight="1">
      <c r="A942" s="7"/>
      <c r="B942" s="7"/>
      <c r="C942" s="7"/>
      <c r="D942" s="7"/>
      <c r="E942" s="7"/>
      <c r="F942" s="7"/>
      <c r="G942" s="7"/>
      <c r="H942" s="7"/>
    </row>
    <row r="943" spans="1:8" ht="15" customHeight="1">
      <c r="A943" s="7"/>
      <c r="B943" s="7"/>
      <c r="C943" s="7"/>
      <c r="D943" s="7"/>
      <c r="E943" s="7"/>
      <c r="F943" s="7"/>
      <c r="G943" s="7"/>
      <c r="H943" s="7"/>
    </row>
    <row r="944" spans="1:8" ht="15" customHeight="1">
      <c r="A944" s="7"/>
      <c r="B944" s="7"/>
      <c r="C944" s="7"/>
      <c r="D944" s="7"/>
      <c r="E944" s="7"/>
      <c r="F944" s="7"/>
      <c r="G944" s="7"/>
      <c r="H944" s="7"/>
    </row>
    <row r="945" spans="1:8" ht="15" customHeight="1">
      <c r="A945" s="7"/>
      <c r="B945" s="7"/>
      <c r="C945" s="7"/>
      <c r="D945" s="7"/>
      <c r="E945" s="7"/>
      <c r="F945" s="7"/>
      <c r="G945" s="7"/>
      <c r="H945" s="7"/>
    </row>
    <row r="946" spans="1:8" ht="15" customHeight="1">
      <c r="A946" s="7"/>
      <c r="B946" s="7"/>
      <c r="C946" s="7"/>
      <c r="D946" s="7"/>
      <c r="E946" s="7"/>
      <c r="F946" s="7"/>
      <c r="G946" s="7"/>
      <c r="H946" s="7"/>
    </row>
    <row r="947" spans="1:8" ht="15" customHeight="1">
      <c r="A947" s="7"/>
      <c r="B947" s="7"/>
      <c r="C947" s="7"/>
      <c r="D947" s="7"/>
      <c r="E947" s="7"/>
      <c r="F947" s="7"/>
      <c r="G947" s="7"/>
      <c r="H947" s="7"/>
    </row>
    <row r="948" spans="1:8" ht="15" customHeight="1">
      <c r="A948" s="7"/>
      <c r="B948" s="7"/>
      <c r="C948" s="7"/>
      <c r="D948" s="7"/>
      <c r="E948" s="7"/>
      <c r="F948" s="7"/>
      <c r="G948" s="7"/>
      <c r="H948" s="7"/>
    </row>
    <row r="949" spans="1:8" ht="15" customHeight="1">
      <c r="A949" s="7"/>
      <c r="B949" s="7"/>
      <c r="C949" s="7"/>
      <c r="D949" s="7"/>
      <c r="E949" s="7"/>
      <c r="F949" s="7"/>
      <c r="G949" s="7"/>
      <c r="H949" s="7"/>
    </row>
    <row r="950" spans="1:8" ht="15" customHeight="1">
      <c r="A950" s="7"/>
      <c r="B950" s="7"/>
      <c r="C950" s="7"/>
      <c r="D950" s="7"/>
      <c r="E950" s="7"/>
      <c r="F950" s="7"/>
      <c r="G950" s="7"/>
      <c r="H950" s="7"/>
    </row>
    <row r="951" spans="1:8" ht="15" customHeight="1">
      <c r="A951" s="7"/>
      <c r="B951" s="7"/>
      <c r="C951" s="7"/>
      <c r="D951" s="7"/>
      <c r="E951" s="7"/>
      <c r="F951" s="7"/>
      <c r="G951" s="7"/>
      <c r="H951" s="7"/>
    </row>
    <row r="952" spans="1:8" ht="15" customHeight="1">
      <c r="A952" s="7"/>
      <c r="B952" s="7"/>
      <c r="C952" s="7"/>
      <c r="D952" s="7"/>
      <c r="E952" s="7"/>
      <c r="F952" s="7"/>
      <c r="G952" s="7"/>
      <c r="H952" s="7"/>
    </row>
    <row r="953" spans="1:8" ht="15" customHeight="1">
      <c r="A953" s="7"/>
      <c r="B953" s="7"/>
      <c r="C953" s="7"/>
      <c r="D953" s="7"/>
      <c r="E953" s="7"/>
      <c r="F953" s="7"/>
      <c r="G953" s="7"/>
      <c r="H953" s="7"/>
    </row>
    <row r="954" spans="1:8" ht="15" customHeight="1">
      <c r="A954" s="7"/>
      <c r="B954" s="7"/>
      <c r="C954" s="7"/>
      <c r="D954" s="7"/>
      <c r="E954" s="7"/>
      <c r="F954" s="7"/>
      <c r="G954" s="7"/>
      <c r="H954" s="7"/>
    </row>
    <row r="955" spans="1:8" ht="15" customHeight="1">
      <c r="A955" s="7"/>
      <c r="B955" s="7"/>
      <c r="C955" s="7"/>
      <c r="D955" s="7"/>
      <c r="E955" s="7"/>
      <c r="F955" s="7"/>
      <c r="G955" s="7"/>
      <c r="H955" s="7"/>
    </row>
    <row r="956" spans="1:8" ht="15" customHeight="1">
      <c r="A956" s="7"/>
      <c r="B956" s="7"/>
      <c r="C956" s="7"/>
      <c r="D956" s="7"/>
      <c r="E956" s="7"/>
      <c r="F956" s="7"/>
      <c r="G956" s="7"/>
      <c r="H956" s="7"/>
    </row>
    <row r="957" spans="1:8" ht="15" customHeight="1">
      <c r="A957" s="7"/>
      <c r="B957" s="7"/>
      <c r="C957" s="7"/>
      <c r="D957" s="7"/>
      <c r="E957" s="7"/>
      <c r="F957" s="7"/>
      <c r="G957" s="7"/>
      <c r="H957" s="7"/>
    </row>
    <row r="958" spans="1:8" ht="15" customHeight="1">
      <c r="A958" s="7"/>
      <c r="B958" s="7"/>
      <c r="C958" s="7"/>
      <c r="D958" s="7"/>
      <c r="E958" s="7"/>
      <c r="F958" s="7"/>
      <c r="G958" s="7"/>
      <c r="H958" s="7"/>
    </row>
    <row r="959" spans="1:8" ht="15" customHeight="1">
      <c r="A959" s="7"/>
      <c r="B959" s="7"/>
      <c r="C959" s="7"/>
      <c r="D959" s="7"/>
      <c r="E959" s="7"/>
      <c r="F959" s="7"/>
      <c r="G959" s="7"/>
      <c r="H959" s="7"/>
    </row>
    <row r="960" spans="1:8" ht="15" customHeight="1">
      <c r="A960" s="7"/>
      <c r="B960" s="7"/>
      <c r="C960" s="7"/>
      <c r="D960" s="7"/>
      <c r="E960" s="7"/>
      <c r="F960" s="7"/>
      <c r="G960" s="7"/>
      <c r="H960" s="7"/>
    </row>
    <row r="961" spans="1:8" ht="15" customHeight="1">
      <c r="A961" s="7"/>
      <c r="B961" s="7"/>
      <c r="C961" s="7"/>
      <c r="D961" s="7"/>
      <c r="E961" s="7"/>
      <c r="F961" s="7"/>
      <c r="G961" s="7"/>
      <c r="H961" s="7"/>
    </row>
    <row r="962" spans="1:8" ht="15" customHeight="1">
      <c r="A962" s="7"/>
      <c r="B962" s="7"/>
      <c r="C962" s="7"/>
      <c r="D962" s="7"/>
      <c r="E962" s="7"/>
      <c r="F962" s="7"/>
      <c r="G962" s="7"/>
      <c r="H962" s="7"/>
    </row>
    <row r="963" spans="1:8" ht="15" customHeight="1">
      <c r="A963" s="7"/>
      <c r="B963" s="7"/>
      <c r="C963" s="7"/>
      <c r="D963" s="7"/>
      <c r="E963" s="7"/>
      <c r="F963" s="7"/>
      <c r="G963" s="7"/>
      <c r="H963" s="7"/>
    </row>
    <row r="964" spans="1:8" ht="15" customHeight="1">
      <c r="A964" s="7"/>
      <c r="B964" s="7"/>
      <c r="C964" s="7"/>
      <c r="D964" s="7"/>
      <c r="E964" s="7"/>
      <c r="F964" s="7"/>
      <c r="G964" s="7"/>
      <c r="H964" s="7"/>
    </row>
    <row r="965" spans="1:8" ht="15" customHeight="1">
      <c r="A965" s="7"/>
      <c r="B965" s="7"/>
      <c r="C965" s="7"/>
      <c r="D965" s="7"/>
      <c r="E965" s="7"/>
      <c r="F965" s="7"/>
      <c r="G965" s="7"/>
      <c r="H965" s="7"/>
    </row>
    <row r="966" spans="1:8" ht="15" customHeight="1">
      <c r="A966" s="7"/>
      <c r="B966" s="7"/>
      <c r="C966" s="7"/>
      <c r="D966" s="7"/>
      <c r="E966" s="7"/>
      <c r="F966" s="7"/>
      <c r="G966" s="7"/>
      <c r="H966" s="7"/>
    </row>
    <row r="967" spans="1:8" ht="15" customHeight="1">
      <c r="A967" s="7"/>
      <c r="B967" s="7"/>
      <c r="C967" s="7"/>
      <c r="D967" s="7"/>
      <c r="E967" s="7"/>
      <c r="F967" s="7"/>
      <c r="G967" s="7"/>
      <c r="H967" s="7"/>
    </row>
    <row r="968" spans="1:8" ht="15" customHeight="1">
      <c r="A968" s="7"/>
      <c r="B968" s="7"/>
      <c r="C968" s="7"/>
      <c r="D968" s="7"/>
      <c r="E968" s="7"/>
      <c r="F968" s="7"/>
      <c r="G968" s="7"/>
      <c r="H968" s="7"/>
    </row>
    <row r="969" spans="1:8" ht="15" customHeight="1">
      <c r="A969" s="7"/>
      <c r="B969" s="7"/>
      <c r="C969" s="7"/>
      <c r="D969" s="7"/>
      <c r="E969" s="7"/>
      <c r="F969" s="7"/>
      <c r="G969" s="7"/>
      <c r="H969" s="7"/>
    </row>
    <row r="970" spans="1:8" ht="15" customHeight="1">
      <c r="A970" s="7"/>
      <c r="B970" s="7"/>
      <c r="C970" s="7"/>
      <c r="D970" s="7"/>
      <c r="E970" s="7"/>
      <c r="F970" s="7"/>
      <c r="G970" s="7"/>
      <c r="H970" s="7"/>
    </row>
    <row r="971" spans="1:8" ht="15" customHeight="1">
      <c r="A971" s="7"/>
      <c r="B971" s="7"/>
      <c r="C971" s="7"/>
      <c r="D971" s="7"/>
      <c r="E971" s="7"/>
      <c r="F971" s="7"/>
      <c r="G971" s="7"/>
      <c r="H971" s="7"/>
    </row>
    <row r="972" spans="1:8" ht="15" customHeight="1">
      <c r="A972" s="7"/>
      <c r="B972" s="7"/>
      <c r="C972" s="7"/>
      <c r="D972" s="7"/>
      <c r="E972" s="7"/>
      <c r="F972" s="7"/>
      <c r="G972" s="7"/>
      <c r="H972" s="7"/>
    </row>
    <row r="973" spans="1:8" ht="15" customHeight="1">
      <c r="A973" s="7"/>
      <c r="B973" s="7"/>
      <c r="C973" s="7"/>
      <c r="D973" s="7"/>
      <c r="E973" s="7"/>
      <c r="F973" s="7"/>
      <c r="G973" s="7"/>
      <c r="H973" s="7"/>
    </row>
    <row r="974" spans="1:8" ht="15" customHeight="1">
      <c r="A974" s="7"/>
      <c r="B974" s="7"/>
      <c r="C974" s="7"/>
      <c r="D974" s="7"/>
      <c r="E974" s="7"/>
      <c r="F974" s="7"/>
      <c r="G974" s="7"/>
      <c r="H974" s="7"/>
    </row>
    <row r="975" spans="1:8" ht="15" customHeight="1">
      <c r="A975" s="7"/>
      <c r="B975" s="7"/>
      <c r="C975" s="7"/>
      <c r="D975" s="7"/>
      <c r="E975" s="7"/>
      <c r="F975" s="7"/>
      <c r="G975" s="7"/>
      <c r="H975" s="7"/>
    </row>
    <row r="976" spans="1:8" ht="15" customHeight="1">
      <c r="A976" s="7"/>
      <c r="B976" s="7"/>
      <c r="C976" s="7"/>
      <c r="D976" s="7"/>
      <c r="E976" s="7"/>
      <c r="F976" s="7"/>
      <c r="G976" s="7"/>
      <c r="H976" s="7"/>
    </row>
    <row r="977" spans="1:8" ht="15" customHeight="1">
      <c r="A977" s="7"/>
      <c r="B977" s="7"/>
      <c r="C977" s="7"/>
      <c r="D977" s="7"/>
      <c r="E977" s="7"/>
      <c r="F977" s="7"/>
      <c r="G977" s="7"/>
      <c r="H977" s="7"/>
    </row>
    <row r="978" spans="1:8" ht="15" customHeight="1">
      <c r="A978" s="7"/>
      <c r="B978" s="7"/>
      <c r="C978" s="7"/>
      <c r="D978" s="7"/>
      <c r="E978" s="7"/>
      <c r="F978" s="7"/>
      <c r="G978" s="7"/>
      <c r="H978" s="7"/>
    </row>
    <row r="979" spans="1:8" ht="15" customHeight="1">
      <c r="A979" s="7"/>
      <c r="B979" s="7"/>
      <c r="C979" s="7"/>
      <c r="D979" s="7"/>
      <c r="E979" s="7"/>
      <c r="F979" s="7"/>
      <c r="G979" s="7"/>
      <c r="H979" s="7"/>
    </row>
    <row r="980" spans="1:8" ht="15" customHeight="1">
      <c r="A980" s="7"/>
      <c r="B980" s="7"/>
      <c r="C980" s="7"/>
      <c r="D980" s="7"/>
      <c r="E980" s="7"/>
      <c r="F980" s="7"/>
      <c r="G980" s="7"/>
      <c r="H980" s="7"/>
    </row>
    <row r="981" spans="1:8" ht="15" customHeight="1">
      <c r="A981" s="7"/>
      <c r="B981" s="7"/>
      <c r="C981" s="7"/>
      <c r="D981" s="7"/>
      <c r="E981" s="7"/>
      <c r="F981" s="7"/>
      <c r="G981" s="7"/>
      <c r="H981" s="7"/>
    </row>
    <row r="982" spans="1:8" ht="15" customHeight="1">
      <c r="A982" s="7"/>
      <c r="B982" s="7"/>
      <c r="C982" s="7"/>
      <c r="D982" s="7"/>
      <c r="E982" s="7"/>
      <c r="F982" s="7"/>
      <c r="G982" s="7"/>
      <c r="H982" s="7"/>
    </row>
    <row r="983" spans="1:8" ht="15" customHeight="1">
      <c r="A983" s="7"/>
      <c r="B983" s="7"/>
      <c r="C983" s="7"/>
      <c r="D983" s="7"/>
      <c r="E983" s="7"/>
      <c r="F983" s="7"/>
      <c r="G983" s="7"/>
      <c r="H983" s="7"/>
    </row>
    <row r="984" spans="1:8" ht="15" customHeight="1">
      <c r="A984" s="7"/>
      <c r="B984" s="7"/>
      <c r="C984" s="7"/>
      <c r="D984" s="7"/>
      <c r="E984" s="7"/>
      <c r="F984" s="7"/>
      <c r="G984" s="7"/>
      <c r="H984" s="7"/>
    </row>
    <row r="985" spans="1:8" ht="15" customHeight="1">
      <c r="A985" s="7"/>
      <c r="B985" s="7"/>
      <c r="C985" s="7"/>
      <c r="D985" s="7"/>
      <c r="E985" s="7"/>
      <c r="F985" s="7"/>
      <c r="G985" s="7"/>
      <c r="H985" s="7"/>
    </row>
    <row r="986" spans="1:8" ht="15" customHeight="1">
      <c r="A986" s="7"/>
      <c r="B986" s="7"/>
      <c r="C986" s="7"/>
      <c r="D986" s="7"/>
      <c r="E986" s="7"/>
      <c r="F986" s="7"/>
      <c r="G986" s="7"/>
      <c r="H986" s="7"/>
    </row>
    <row r="987" spans="1:8" ht="15" customHeight="1">
      <c r="A987" s="7"/>
      <c r="B987" s="7"/>
      <c r="C987" s="7"/>
      <c r="D987" s="7"/>
      <c r="E987" s="7"/>
      <c r="F987" s="7"/>
      <c r="G987" s="7"/>
      <c r="H987" s="7"/>
    </row>
    <row r="988" spans="1:8" ht="15" customHeight="1">
      <c r="A988" s="7"/>
      <c r="B988" s="7"/>
      <c r="C988" s="7"/>
      <c r="D988" s="7"/>
      <c r="E988" s="7"/>
      <c r="F988" s="7"/>
      <c r="G988" s="7"/>
      <c r="H988" s="7"/>
    </row>
    <row r="989" spans="1:8" ht="15" customHeight="1">
      <c r="A989" s="7"/>
      <c r="B989" s="7"/>
      <c r="C989" s="7"/>
      <c r="D989" s="7"/>
      <c r="E989" s="7"/>
      <c r="F989" s="7"/>
      <c r="G989" s="7"/>
      <c r="H989" s="7"/>
    </row>
    <row r="990" spans="1:8" ht="15" customHeight="1">
      <c r="A990" s="7"/>
      <c r="B990" s="7"/>
      <c r="C990" s="7"/>
      <c r="D990" s="7"/>
      <c r="E990" s="7"/>
      <c r="F990" s="7"/>
      <c r="G990" s="7"/>
      <c r="H990" s="7"/>
    </row>
    <row r="991" spans="1:8" ht="15" customHeight="1">
      <c r="A991" s="7"/>
      <c r="B991" s="7"/>
      <c r="C991" s="7"/>
      <c r="D991" s="7"/>
      <c r="E991" s="7"/>
      <c r="F991" s="7"/>
      <c r="G991" s="7"/>
      <c r="H991" s="7"/>
    </row>
    <row r="992" spans="1:8" ht="15" customHeight="1">
      <c r="A992" s="7"/>
      <c r="B992" s="7"/>
      <c r="C992" s="7"/>
      <c r="D992" s="7"/>
      <c r="E992" s="7"/>
      <c r="F992" s="7"/>
      <c r="G992" s="7"/>
      <c r="H992" s="7"/>
    </row>
    <row r="993" spans="1:8" ht="15" customHeight="1">
      <c r="A993" s="7"/>
      <c r="B993" s="7"/>
      <c r="C993" s="7"/>
      <c r="D993" s="7"/>
      <c r="E993" s="7"/>
      <c r="F993" s="7"/>
      <c r="G993" s="7"/>
      <c r="H993" s="7"/>
    </row>
    <row r="994" spans="1:8" ht="15" customHeight="1">
      <c r="A994" s="7"/>
      <c r="B994" s="7"/>
      <c r="C994" s="7"/>
      <c r="D994" s="7"/>
      <c r="E994" s="7"/>
      <c r="F994" s="7"/>
      <c r="G994" s="7"/>
      <c r="H994" s="7"/>
    </row>
    <row r="995" spans="1:8" ht="15" customHeight="1">
      <c r="A995" s="7"/>
      <c r="B995" s="7"/>
      <c r="C995" s="7"/>
      <c r="D995" s="7"/>
      <c r="E995" s="7"/>
      <c r="F995" s="7"/>
      <c r="G995" s="7"/>
      <c r="H995" s="7"/>
    </row>
    <row r="996" spans="1:8" ht="15" customHeight="1">
      <c r="A996" s="7"/>
      <c r="B996" s="7"/>
      <c r="C996" s="7"/>
      <c r="D996" s="7"/>
      <c r="E996" s="7"/>
      <c r="F996" s="7"/>
      <c r="G996" s="7"/>
      <c r="H996" s="7"/>
    </row>
    <row r="997" spans="1:8" ht="15" customHeight="1">
      <c r="A997" s="7"/>
      <c r="B997" s="7"/>
      <c r="C997" s="7"/>
      <c r="D997" s="7"/>
      <c r="E997" s="7"/>
      <c r="F997" s="7"/>
      <c r="G997" s="7"/>
      <c r="H997" s="7"/>
    </row>
    <row r="998" spans="1:8" ht="15" customHeight="1">
      <c r="A998" s="7"/>
      <c r="B998" s="7"/>
      <c r="C998" s="7"/>
      <c r="D998" s="7"/>
      <c r="E998" s="7"/>
      <c r="F998" s="7"/>
      <c r="G998" s="7"/>
      <c r="H998" s="7"/>
    </row>
    <row r="999" spans="1:8" ht="15" customHeight="1">
      <c r="A999" s="7"/>
      <c r="B999" s="7"/>
      <c r="C999" s="7"/>
      <c r="D999" s="7"/>
      <c r="E999" s="7"/>
      <c r="F999" s="7"/>
      <c r="G999" s="7"/>
      <c r="H999" s="7"/>
    </row>
    <row r="1000" spans="1:8" ht="15" customHeight="1">
      <c r="A1000" s="7"/>
      <c r="B1000" s="7"/>
      <c r="C1000" s="7"/>
      <c r="D1000" s="7"/>
      <c r="E1000" s="7"/>
      <c r="F1000" s="7"/>
      <c r="G1000" s="7"/>
      <c r="H1000" s="7"/>
    </row>
    <row r="1001" spans="1:8" ht="15" customHeight="1">
      <c r="A1001" s="7"/>
      <c r="B1001" s="7"/>
      <c r="C1001" s="7"/>
      <c r="D1001" s="7"/>
      <c r="E1001" s="7"/>
      <c r="F1001" s="7"/>
      <c r="G1001" s="7"/>
      <c r="H1001" s="7"/>
    </row>
    <row r="1002" spans="1:8" ht="15" customHeight="1">
      <c r="A1002" s="7"/>
      <c r="B1002" s="7"/>
      <c r="C1002" s="7"/>
      <c r="D1002" s="7"/>
      <c r="E1002" s="7"/>
      <c r="F1002" s="7"/>
      <c r="G1002" s="7"/>
      <c r="H1002" s="7"/>
    </row>
    <row r="1003" spans="1:8" ht="15" customHeight="1">
      <c r="A1003" s="7"/>
      <c r="B1003" s="7"/>
      <c r="C1003" s="7"/>
      <c r="D1003" s="7"/>
      <c r="E1003" s="7"/>
      <c r="F1003" s="7"/>
      <c r="G1003" s="7"/>
      <c r="H1003" s="7"/>
    </row>
    <row r="1004" spans="1:8" ht="15" customHeight="1">
      <c r="A1004" s="7"/>
      <c r="B1004" s="7"/>
      <c r="C1004" s="7"/>
      <c r="D1004" s="7"/>
      <c r="E1004" s="7"/>
      <c r="F1004" s="7"/>
      <c r="G1004" s="7"/>
      <c r="H1004" s="7"/>
    </row>
    <row r="1005" spans="1:8" ht="15" customHeight="1">
      <c r="A1005" s="7"/>
      <c r="B1005" s="7"/>
      <c r="C1005" s="7"/>
      <c r="D1005" s="7"/>
      <c r="E1005" s="7"/>
      <c r="F1005" s="7"/>
      <c r="G1005" s="7"/>
      <c r="H1005" s="7"/>
    </row>
    <row r="1006" spans="1:8" ht="15" customHeight="1">
      <c r="A1006" s="7"/>
      <c r="B1006" s="7"/>
      <c r="C1006" s="7"/>
      <c r="D1006" s="7"/>
      <c r="E1006" s="7"/>
      <c r="F1006" s="7"/>
      <c r="G1006" s="7"/>
      <c r="H1006" s="7"/>
    </row>
    <row r="1007" spans="1:8" ht="15" customHeight="1">
      <c r="A1007" s="7"/>
      <c r="B1007" s="7"/>
      <c r="C1007" s="7"/>
      <c r="D1007" s="7"/>
      <c r="E1007" s="7"/>
      <c r="F1007" s="7"/>
      <c r="G1007" s="7"/>
      <c r="H1007" s="7"/>
    </row>
    <row r="1008" spans="1:8" ht="15" customHeight="1">
      <c r="A1008" s="7"/>
      <c r="B1008" s="7"/>
      <c r="C1008" s="7"/>
      <c r="D1008" s="7"/>
      <c r="E1008" s="7"/>
      <c r="F1008" s="7"/>
      <c r="G1008" s="7"/>
      <c r="H1008" s="7"/>
    </row>
    <row r="1009" spans="1:8" ht="15" customHeight="1">
      <c r="A1009" s="7"/>
      <c r="B1009" s="7"/>
      <c r="C1009" s="7"/>
      <c r="D1009" s="7"/>
      <c r="E1009" s="7"/>
      <c r="F1009" s="7"/>
      <c r="G1009" s="7"/>
      <c r="H1009" s="7"/>
    </row>
    <row r="1010" spans="1:8" ht="15" customHeight="1">
      <c r="A1010" s="7"/>
      <c r="B1010" s="7"/>
      <c r="C1010" s="7"/>
      <c r="D1010" s="7"/>
      <c r="E1010" s="7"/>
      <c r="F1010" s="7"/>
      <c r="G1010" s="7"/>
      <c r="H1010" s="7"/>
    </row>
    <row r="1011" spans="1:8" ht="15" customHeight="1">
      <c r="A1011" s="7"/>
      <c r="B1011" s="7"/>
      <c r="C1011" s="7"/>
      <c r="D1011" s="7"/>
      <c r="E1011" s="7"/>
      <c r="F1011" s="7"/>
      <c r="G1011" s="7"/>
      <c r="H1011" s="7"/>
    </row>
    <row r="1012" spans="1:8" ht="15" customHeight="1">
      <c r="A1012" s="7"/>
      <c r="B1012" s="7"/>
      <c r="C1012" s="7"/>
      <c r="D1012" s="7"/>
      <c r="E1012" s="7"/>
      <c r="F1012" s="7"/>
      <c r="G1012" s="7"/>
      <c r="H1012" s="7"/>
    </row>
    <row r="1013" spans="1:8" ht="15" customHeight="1">
      <c r="A1013" s="7"/>
      <c r="B1013" s="7"/>
      <c r="C1013" s="7"/>
      <c r="D1013" s="7"/>
      <c r="E1013" s="7"/>
      <c r="F1013" s="7"/>
      <c r="G1013" s="7"/>
      <c r="H1013" s="7"/>
    </row>
    <row r="1014" spans="1:8" ht="15" customHeight="1">
      <c r="A1014" s="7"/>
      <c r="B1014" s="7"/>
      <c r="C1014" s="7"/>
      <c r="D1014" s="7"/>
      <c r="E1014" s="7"/>
      <c r="F1014" s="7"/>
      <c r="G1014" s="7"/>
      <c r="H1014" s="7"/>
    </row>
    <row r="1015" spans="1:8" ht="15" customHeight="1">
      <c r="A1015" s="7"/>
      <c r="B1015" s="7"/>
      <c r="C1015" s="7"/>
      <c r="D1015" s="7"/>
      <c r="E1015" s="7"/>
      <c r="F1015" s="7"/>
      <c r="G1015" s="7"/>
      <c r="H1015" s="7"/>
    </row>
    <row r="1016" spans="1:8" ht="15" customHeight="1">
      <c r="A1016" s="7"/>
      <c r="B1016" s="7"/>
      <c r="C1016" s="7"/>
      <c r="D1016" s="7"/>
      <c r="E1016" s="7"/>
      <c r="F1016" s="7"/>
      <c r="G1016" s="7"/>
      <c r="H1016" s="7"/>
    </row>
    <row r="1017" spans="1:8" ht="15" customHeight="1">
      <c r="A1017" s="7"/>
      <c r="B1017" s="7"/>
      <c r="C1017" s="7"/>
      <c r="D1017" s="7"/>
      <c r="E1017" s="7"/>
      <c r="F1017" s="7"/>
      <c r="G1017" s="7"/>
      <c r="H1017" s="7"/>
    </row>
    <row r="1018" spans="1:8" ht="15" customHeight="1">
      <c r="A1018" s="7"/>
      <c r="B1018" s="7"/>
      <c r="C1018" s="7"/>
      <c r="D1018" s="7"/>
      <c r="E1018" s="7"/>
      <c r="F1018" s="7"/>
      <c r="G1018" s="7"/>
      <c r="H1018" s="7"/>
    </row>
    <row r="1019" spans="1:8" ht="15" customHeight="1">
      <c r="A1019" s="7"/>
      <c r="B1019" s="7"/>
      <c r="C1019" s="7"/>
      <c r="D1019" s="7"/>
      <c r="E1019" s="7"/>
      <c r="F1019" s="7"/>
      <c r="G1019" s="7"/>
      <c r="H1019" s="7"/>
    </row>
    <row r="1020" spans="1:8" ht="15" customHeight="1">
      <c r="A1020" s="7"/>
      <c r="B1020" s="7"/>
      <c r="C1020" s="7"/>
      <c r="D1020" s="7"/>
      <c r="E1020" s="7"/>
      <c r="F1020" s="7"/>
      <c r="G1020" s="7"/>
      <c r="H1020" s="7"/>
    </row>
    <row r="1021" spans="1:8" ht="15" customHeight="1">
      <c r="A1021" s="7"/>
      <c r="B1021" s="7"/>
      <c r="C1021" s="7"/>
      <c r="D1021" s="7"/>
      <c r="E1021" s="7"/>
      <c r="F1021" s="7"/>
      <c r="G1021" s="7"/>
      <c r="H1021" s="7"/>
    </row>
    <row r="1022" spans="1:8" ht="15" customHeight="1">
      <c r="A1022" s="7"/>
      <c r="B1022" s="7"/>
      <c r="C1022" s="7"/>
      <c r="D1022" s="7"/>
      <c r="E1022" s="7"/>
      <c r="F1022" s="7"/>
      <c r="G1022" s="7"/>
      <c r="H1022" s="7"/>
    </row>
    <row r="1023" spans="1:8" ht="15" customHeight="1">
      <c r="A1023" s="7"/>
      <c r="B1023" s="7"/>
      <c r="C1023" s="7"/>
      <c r="D1023" s="7"/>
      <c r="E1023" s="7"/>
      <c r="F1023" s="7"/>
      <c r="G1023" s="7"/>
      <c r="H1023" s="7"/>
    </row>
    <row r="1024" spans="1:8" ht="15" customHeight="1">
      <c r="A1024" s="7"/>
      <c r="B1024" s="7"/>
      <c r="C1024" s="7"/>
      <c r="D1024" s="7"/>
      <c r="E1024" s="7"/>
      <c r="F1024" s="7"/>
      <c r="G1024" s="7"/>
      <c r="H1024" s="7"/>
    </row>
    <row r="1025" spans="1:8" ht="15" customHeight="1">
      <c r="A1025" s="7"/>
      <c r="B1025" s="7"/>
      <c r="C1025" s="7"/>
      <c r="D1025" s="7"/>
      <c r="E1025" s="7"/>
      <c r="F1025" s="7"/>
      <c r="G1025" s="7"/>
      <c r="H1025" s="7"/>
    </row>
    <row r="1026" spans="1:8" ht="15" customHeight="1">
      <c r="A1026" s="7"/>
      <c r="B1026" s="7"/>
      <c r="C1026" s="7"/>
      <c r="D1026" s="7"/>
      <c r="E1026" s="7"/>
      <c r="F1026" s="7"/>
      <c r="G1026" s="7"/>
      <c r="H1026" s="7"/>
    </row>
    <row r="1027" spans="1:8" ht="15" customHeight="1">
      <c r="A1027" s="7"/>
      <c r="B1027" s="7"/>
      <c r="C1027" s="7"/>
      <c r="D1027" s="7"/>
      <c r="E1027" s="7"/>
      <c r="F1027" s="7"/>
      <c r="G1027" s="7"/>
      <c r="H1027" s="7"/>
    </row>
    <row r="1028" spans="1:8" ht="15" customHeight="1">
      <c r="A1028" s="7"/>
      <c r="B1028" s="7"/>
      <c r="C1028" s="7"/>
      <c r="D1028" s="7"/>
      <c r="E1028" s="7"/>
      <c r="F1028" s="7"/>
      <c r="G1028" s="7"/>
      <c r="H1028" s="7"/>
    </row>
    <row r="1029" spans="1:8" ht="15" customHeight="1">
      <c r="A1029" s="7"/>
      <c r="B1029" s="7"/>
      <c r="C1029" s="7"/>
      <c r="D1029" s="7"/>
      <c r="E1029" s="7"/>
      <c r="F1029" s="7"/>
      <c r="G1029" s="7"/>
      <c r="H1029" s="7"/>
    </row>
    <row r="1030" spans="1:8" ht="15" customHeight="1">
      <c r="A1030" s="7"/>
      <c r="B1030" s="7"/>
      <c r="C1030" s="7"/>
      <c r="D1030" s="7"/>
      <c r="E1030" s="7"/>
      <c r="F1030" s="7"/>
      <c r="G1030" s="7"/>
      <c r="H1030" s="7"/>
    </row>
    <row r="1031" spans="1:8" ht="15" customHeight="1">
      <c r="A1031" s="7"/>
      <c r="B1031" s="7"/>
      <c r="C1031" s="7"/>
      <c r="D1031" s="7"/>
      <c r="E1031" s="7"/>
      <c r="F1031" s="7"/>
      <c r="G1031" s="7"/>
      <c r="H1031" s="7"/>
    </row>
    <row r="1032" spans="1:8" ht="15" customHeight="1">
      <c r="A1032" s="7"/>
      <c r="B1032" s="7"/>
      <c r="C1032" s="7"/>
      <c r="D1032" s="7"/>
      <c r="E1032" s="7"/>
      <c r="F1032" s="7"/>
      <c r="G1032" s="7"/>
      <c r="H1032" s="7"/>
    </row>
    <row r="1033" spans="1:8" ht="15" customHeight="1">
      <c r="A1033" s="7"/>
      <c r="B1033" s="7"/>
      <c r="C1033" s="7"/>
      <c r="D1033" s="7"/>
      <c r="E1033" s="7"/>
      <c r="F1033" s="7"/>
      <c r="G1033" s="7"/>
      <c r="H1033" s="7"/>
    </row>
    <row r="1034" spans="1:8" ht="15" customHeight="1">
      <c r="A1034" s="7"/>
      <c r="B1034" s="7"/>
      <c r="C1034" s="7"/>
      <c r="D1034" s="7"/>
      <c r="E1034" s="7"/>
      <c r="F1034" s="7"/>
      <c r="G1034" s="7"/>
      <c r="H1034" s="7"/>
    </row>
    <row r="1035" spans="1:8" ht="15" customHeight="1">
      <c r="A1035" s="7"/>
      <c r="B1035" s="7"/>
      <c r="C1035" s="7"/>
      <c r="D1035" s="7"/>
      <c r="E1035" s="7"/>
      <c r="F1035" s="7"/>
      <c r="G1035" s="7"/>
      <c r="H1035" s="7"/>
    </row>
    <row r="1036" spans="1:8" ht="15" customHeight="1">
      <c r="A1036" s="7"/>
      <c r="B1036" s="7"/>
      <c r="C1036" s="7"/>
      <c r="D1036" s="7"/>
      <c r="E1036" s="7"/>
      <c r="F1036" s="7"/>
      <c r="G1036" s="7"/>
      <c r="H1036" s="7"/>
    </row>
    <row r="1037" spans="1:8" ht="15" customHeight="1">
      <c r="A1037" s="7"/>
      <c r="B1037" s="7"/>
      <c r="C1037" s="7"/>
      <c r="D1037" s="7"/>
      <c r="E1037" s="7"/>
      <c r="F1037" s="7"/>
      <c r="G1037" s="7"/>
      <c r="H1037" s="7"/>
    </row>
    <row r="1038" spans="1:8" ht="15" customHeight="1">
      <c r="A1038" s="7"/>
      <c r="B1038" s="7"/>
      <c r="C1038" s="7"/>
      <c r="D1038" s="7"/>
      <c r="E1038" s="7"/>
      <c r="F1038" s="7"/>
      <c r="G1038" s="7"/>
      <c r="H1038" s="7"/>
    </row>
    <row r="1039" spans="1:8" ht="15" customHeight="1">
      <c r="A1039" s="7"/>
      <c r="B1039" s="7"/>
      <c r="C1039" s="7"/>
      <c r="D1039" s="7"/>
      <c r="E1039" s="7"/>
      <c r="F1039" s="7"/>
      <c r="G1039" s="7"/>
      <c r="H1039" s="7"/>
    </row>
    <row r="1040" spans="1:8" ht="15" customHeight="1">
      <c r="A1040" s="7"/>
      <c r="B1040" s="7"/>
      <c r="C1040" s="7"/>
      <c r="D1040" s="7"/>
      <c r="E1040" s="7"/>
      <c r="F1040" s="7"/>
      <c r="G1040" s="7"/>
      <c r="H1040" s="7"/>
    </row>
    <row r="1041" spans="1:8" ht="15" customHeight="1">
      <c r="A1041" s="7"/>
      <c r="B1041" s="7"/>
      <c r="C1041" s="7"/>
      <c r="D1041" s="7"/>
      <c r="E1041" s="7"/>
      <c r="F1041" s="7"/>
      <c r="G1041" s="7"/>
      <c r="H1041" s="7"/>
    </row>
    <row r="1042" spans="1:8" ht="15" customHeight="1">
      <c r="A1042" s="7"/>
      <c r="B1042" s="7"/>
      <c r="C1042" s="7"/>
      <c r="D1042" s="7"/>
      <c r="E1042" s="7"/>
      <c r="F1042" s="7"/>
      <c r="G1042" s="7"/>
      <c r="H1042" s="7"/>
    </row>
    <row r="1043" spans="1:8" ht="15" customHeight="1">
      <c r="A1043" s="7"/>
      <c r="B1043" s="7"/>
      <c r="C1043" s="7"/>
      <c r="D1043" s="7"/>
      <c r="E1043" s="7"/>
      <c r="F1043" s="7"/>
      <c r="G1043" s="7"/>
      <c r="H1043" s="7"/>
    </row>
    <row r="1044" spans="1:8" ht="15" customHeight="1">
      <c r="A1044" s="7"/>
      <c r="B1044" s="7"/>
      <c r="C1044" s="7"/>
      <c r="D1044" s="7"/>
      <c r="E1044" s="7"/>
      <c r="F1044" s="7"/>
      <c r="G1044" s="7"/>
      <c r="H1044" s="7"/>
    </row>
    <row r="1045" spans="1:8" ht="15" customHeight="1">
      <c r="A1045" s="7"/>
      <c r="B1045" s="7"/>
      <c r="C1045" s="7"/>
      <c r="D1045" s="7"/>
      <c r="E1045" s="7"/>
      <c r="F1045" s="7"/>
      <c r="G1045" s="7"/>
      <c r="H1045" s="7"/>
    </row>
    <row r="1046" spans="1:8" ht="15" customHeight="1">
      <c r="A1046" s="7"/>
      <c r="B1046" s="7"/>
      <c r="C1046" s="7"/>
      <c r="D1046" s="7"/>
      <c r="E1046" s="7"/>
      <c r="F1046" s="7"/>
      <c r="G1046" s="7"/>
      <c r="H1046" s="7"/>
    </row>
    <row r="1047" spans="1:8" ht="15" customHeight="1">
      <c r="A1047" s="7"/>
      <c r="B1047" s="7"/>
      <c r="C1047" s="7"/>
      <c r="D1047" s="7"/>
      <c r="E1047" s="7"/>
      <c r="F1047" s="7"/>
      <c r="G1047" s="7"/>
      <c r="H1047" s="7"/>
    </row>
    <row r="1048" spans="1:8" ht="15" customHeight="1">
      <c r="A1048" s="7"/>
      <c r="B1048" s="7"/>
      <c r="C1048" s="7"/>
      <c r="D1048" s="7"/>
      <c r="E1048" s="7"/>
      <c r="F1048" s="7"/>
      <c r="G1048" s="7"/>
      <c r="H1048" s="7"/>
    </row>
    <row r="1049" spans="1:8" ht="15" customHeight="1">
      <c r="A1049" s="7"/>
      <c r="B1049" s="7"/>
      <c r="C1049" s="7"/>
      <c r="D1049" s="7"/>
      <c r="E1049" s="7"/>
      <c r="F1049" s="7"/>
      <c r="G1049" s="7"/>
      <c r="H1049" s="7"/>
    </row>
    <row r="1050" spans="1:8" ht="15" customHeight="1">
      <c r="A1050" s="7"/>
      <c r="B1050" s="7"/>
      <c r="C1050" s="7"/>
      <c r="D1050" s="7"/>
      <c r="E1050" s="7"/>
      <c r="F1050" s="7"/>
      <c r="G1050" s="7"/>
      <c r="H1050" s="7"/>
    </row>
    <row r="1051" spans="1:8" ht="15" customHeight="1">
      <c r="A1051" s="7"/>
      <c r="B1051" s="7"/>
      <c r="C1051" s="7"/>
      <c r="D1051" s="7"/>
      <c r="E1051" s="7"/>
      <c r="F1051" s="7"/>
      <c r="G1051" s="7"/>
      <c r="H1051" s="7"/>
    </row>
    <row r="1052" spans="1:8" ht="15" customHeight="1">
      <c r="A1052" s="7"/>
      <c r="B1052" s="7"/>
      <c r="C1052" s="7"/>
      <c r="D1052" s="7"/>
      <c r="E1052" s="7"/>
      <c r="F1052" s="7"/>
      <c r="G1052" s="7"/>
      <c r="H1052" s="7"/>
    </row>
  </sheetData>
  <mergeCells count="5">
    <mergeCell ref="B2:H2"/>
    <mergeCell ref="B3:H3"/>
    <mergeCell ref="B4:H4"/>
    <mergeCell ref="F5:H5"/>
    <mergeCell ref="F6:H6"/>
  </mergeCells>
  <dataValidations count="1">
    <dataValidation type="list" allowBlank="1" showInputMessage="1" showErrorMessage="1" prompt=" - " sqref="F1 F7:F195" xr:uid="{00000000-0002-0000-04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workbookViewId="0">
      <selection activeCell="I17" sqref="I17"/>
    </sheetView>
  </sheetViews>
  <sheetFormatPr defaultColWidth="14.44140625" defaultRowHeight="15" customHeight="1"/>
  <cols>
    <col min="1" max="1" width="10.33203125" customWidth="1"/>
    <col min="2" max="2" width="15.44140625" customWidth="1"/>
    <col min="3" max="3" width="22.109375" customWidth="1"/>
    <col min="4" max="6" width="10.33203125" customWidth="1"/>
    <col min="7" max="7" width="11.33203125" customWidth="1"/>
    <col min="8" max="8" width="11.6640625" customWidth="1"/>
    <col min="9" max="9" width="30.109375" customWidth="1"/>
    <col min="10" max="26" width="9.109375" customWidth="1"/>
  </cols>
  <sheetData>
    <row r="1" spans="1:26" ht="25.5" customHeight="1">
      <c r="A1" s="7"/>
      <c r="B1" s="134" t="s">
        <v>45</v>
      </c>
      <c r="C1" s="135"/>
      <c r="D1" s="135"/>
      <c r="E1" s="135"/>
      <c r="F1" s="135"/>
      <c r="G1" s="135"/>
      <c r="H1" s="136"/>
      <c r="I1" s="7"/>
      <c r="J1" s="7"/>
      <c r="K1" s="7"/>
      <c r="L1" s="7"/>
      <c r="M1" s="7"/>
      <c r="N1" s="7"/>
      <c r="O1" s="7"/>
      <c r="P1" s="7"/>
      <c r="Q1" s="7"/>
      <c r="R1" s="7"/>
      <c r="S1" s="7"/>
      <c r="T1" s="7"/>
      <c r="U1" s="7"/>
      <c r="V1" s="7"/>
      <c r="W1" s="7"/>
      <c r="X1" s="7"/>
      <c r="Y1" s="7"/>
      <c r="Z1" s="7"/>
    </row>
    <row r="2" spans="1:26" ht="14.25" customHeight="1">
      <c r="A2" s="85"/>
      <c r="B2" s="85"/>
      <c r="C2" s="7"/>
      <c r="D2" s="7"/>
      <c r="E2" s="7"/>
      <c r="F2" s="7"/>
      <c r="G2" s="7"/>
      <c r="H2" s="86"/>
      <c r="I2" s="7"/>
      <c r="J2" s="7"/>
      <c r="K2" s="7"/>
      <c r="L2" s="7"/>
      <c r="M2" s="7"/>
      <c r="N2" s="7"/>
      <c r="O2" s="7"/>
      <c r="P2" s="7"/>
      <c r="Q2" s="7"/>
      <c r="R2" s="7"/>
      <c r="S2" s="7"/>
      <c r="T2" s="7"/>
      <c r="U2" s="7"/>
      <c r="V2" s="7"/>
      <c r="W2" s="7"/>
      <c r="X2" s="7"/>
      <c r="Y2" s="7"/>
      <c r="Z2" s="7"/>
    </row>
    <row r="3" spans="1:26" ht="12" customHeight="1">
      <c r="A3" s="7"/>
      <c r="B3" s="87" t="s">
        <v>1</v>
      </c>
      <c r="C3" s="127" t="str">
        <f>Cover!C4</f>
        <v>AB-SD</v>
      </c>
      <c r="D3" s="115"/>
      <c r="E3" s="133" t="s">
        <v>3</v>
      </c>
      <c r="F3" s="115"/>
      <c r="G3" s="88" t="s">
        <v>233</v>
      </c>
      <c r="H3" s="89"/>
      <c r="I3" s="7"/>
      <c r="J3" s="7"/>
      <c r="K3" s="7"/>
      <c r="L3" s="7"/>
      <c r="M3" s="7"/>
      <c r="N3" s="7"/>
      <c r="O3" s="7"/>
      <c r="P3" s="7"/>
      <c r="Q3" s="7"/>
      <c r="R3" s="7"/>
      <c r="S3" s="7"/>
      <c r="T3" s="7"/>
      <c r="U3" s="7"/>
      <c r="V3" s="7"/>
      <c r="W3" s="7"/>
      <c r="X3" s="7"/>
      <c r="Y3" s="7"/>
      <c r="Z3" s="7"/>
    </row>
    <row r="4" spans="1:26" ht="12" customHeight="1">
      <c r="A4" s="7"/>
      <c r="B4" s="87" t="s">
        <v>4</v>
      </c>
      <c r="C4" s="127" t="str">
        <f>Cover!C5</f>
        <v>AB-SD</v>
      </c>
      <c r="D4" s="115"/>
      <c r="E4" s="133" t="s">
        <v>5</v>
      </c>
      <c r="F4" s="115"/>
      <c r="G4" s="88" t="s">
        <v>6</v>
      </c>
      <c r="H4" s="89"/>
      <c r="I4" s="7"/>
      <c r="J4" s="7"/>
      <c r="K4" s="7"/>
      <c r="L4" s="7"/>
      <c r="M4" s="7"/>
      <c r="N4" s="7"/>
      <c r="O4" s="7"/>
      <c r="P4" s="7"/>
      <c r="Q4" s="7"/>
      <c r="R4" s="7"/>
      <c r="S4" s="7"/>
      <c r="T4" s="7"/>
      <c r="U4" s="7"/>
      <c r="V4" s="7"/>
      <c r="W4" s="7"/>
      <c r="X4" s="7"/>
      <c r="Y4" s="7"/>
      <c r="Z4" s="7"/>
    </row>
    <row r="5" spans="1:26" ht="12" customHeight="1">
      <c r="A5" s="7"/>
      <c r="B5" s="90" t="s">
        <v>7</v>
      </c>
      <c r="C5" s="127" t="str">
        <f>C4&amp;"_"&amp;"Test Report"&amp;"_"&amp;"v0.1"</f>
        <v>AB-SD_Test Report_v0.1</v>
      </c>
      <c r="D5" s="115"/>
      <c r="E5" s="133" t="s">
        <v>8</v>
      </c>
      <c r="F5" s="115"/>
      <c r="G5" s="91">
        <v>42019</v>
      </c>
      <c r="H5" s="92" t="s">
        <v>46</v>
      </c>
      <c r="I5" s="7"/>
      <c r="J5" s="7"/>
      <c r="K5" s="7"/>
      <c r="L5" s="7"/>
      <c r="M5" s="7"/>
      <c r="N5" s="7"/>
      <c r="O5" s="7"/>
      <c r="P5" s="7"/>
      <c r="Q5" s="7"/>
      <c r="R5" s="7"/>
      <c r="S5" s="7"/>
      <c r="T5" s="7"/>
      <c r="U5" s="7"/>
      <c r="V5" s="7"/>
      <c r="W5" s="7"/>
      <c r="X5" s="7"/>
      <c r="Y5" s="7"/>
      <c r="Z5" s="7"/>
    </row>
    <row r="6" spans="1:26" ht="21.75" customHeight="1">
      <c r="A6" s="85"/>
      <c r="B6" s="90" t="s">
        <v>47</v>
      </c>
      <c r="C6" s="129" t="s">
        <v>48</v>
      </c>
      <c r="D6" s="114"/>
      <c r="E6" s="114"/>
      <c r="F6" s="114"/>
      <c r="G6" s="114"/>
      <c r="H6" s="115"/>
      <c r="I6" s="7"/>
      <c r="J6" s="7"/>
      <c r="K6" s="7"/>
      <c r="L6" s="7"/>
      <c r="M6" s="7"/>
      <c r="N6" s="7"/>
      <c r="O6" s="7"/>
      <c r="P6" s="7"/>
      <c r="Q6" s="7"/>
      <c r="R6" s="7"/>
      <c r="S6" s="7"/>
      <c r="T6" s="7"/>
      <c r="U6" s="7"/>
      <c r="V6" s="7"/>
      <c r="W6" s="7"/>
      <c r="X6" s="7"/>
      <c r="Y6" s="7"/>
      <c r="Z6" s="7"/>
    </row>
    <row r="7" spans="1:26" ht="14.25" customHeight="1">
      <c r="A7" s="85"/>
      <c r="B7" s="12"/>
      <c r="C7" s="93"/>
      <c r="D7" s="7"/>
      <c r="E7" s="7"/>
      <c r="F7" s="7"/>
      <c r="G7" s="7"/>
      <c r="H7" s="86"/>
      <c r="I7" s="7"/>
      <c r="J7" s="7"/>
      <c r="K7" s="7"/>
      <c r="L7" s="7"/>
      <c r="M7" s="7"/>
      <c r="N7" s="7"/>
      <c r="O7" s="7"/>
      <c r="P7" s="7"/>
      <c r="Q7" s="7"/>
      <c r="R7" s="7"/>
      <c r="S7" s="7"/>
      <c r="T7" s="7"/>
      <c r="U7" s="7"/>
      <c r="V7" s="7"/>
      <c r="W7" s="7"/>
      <c r="X7" s="7"/>
      <c r="Y7" s="7"/>
      <c r="Z7" s="7"/>
    </row>
    <row r="8" spans="1:26" ht="12.75" customHeight="1">
      <c r="A8" s="7"/>
      <c r="B8" s="12"/>
      <c r="C8" s="93"/>
      <c r="D8" s="7"/>
      <c r="E8" s="7"/>
      <c r="F8" s="7"/>
      <c r="G8" s="7"/>
      <c r="H8" s="86"/>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94"/>
      <c r="B10" s="95" t="s">
        <v>23</v>
      </c>
      <c r="C10" s="96" t="s">
        <v>49</v>
      </c>
      <c r="D10" s="97" t="s">
        <v>50</v>
      </c>
      <c r="E10" s="96" t="s">
        <v>51</v>
      </c>
      <c r="F10" s="96" t="s">
        <v>35</v>
      </c>
      <c r="G10" s="98" t="s">
        <v>34</v>
      </c>
      <c r="H10" s="99" t="s">
        <v>36</v>
      </c>
      <c r="I10" s="99" t="s">
        <v>52</v>
      </c>
      <c r="J10" s="7"/>
      <c r="K10" s="7"/>
      <c r="L10" s="7"/>
      <c r="M10" s="7"/>
      <c r="N10" s="7"/>
      <c r="O10" s="7"/>
      <c r="P10" s="7"/>
      <c r="Q10" s="7"/>
      <c r="R10" s="7"/>
      <c r="S10" s="7"/>
      <c r="T10" s="7"/>
      <c r="U10" s="7"/>
      <c r="V10" s="7"/>
      <c r="W10" s="7"/>
      <c r="X10" s="7"/>
      <c r="Y10" s="7"/>
      <c r="Z10" s="7"/>
    </row>
    <row r="11" spans="1:26" ht="12.75" customHeight="1">
      <c r="A11" s="94"/>
      <c r="B11" s="100">
        <v>1</v>
      </c>
      <c r="C11" s="101" t="str">
        <f>'Giỏ hàng'!B2</f>
        <v xml:space="preserve">Giỏ hàng </v>
      </c>
      <c r="D11" s="102">
        <f>'Giỏ hàng'!A6</f>
        <v>0</v>
      </c>
      <c r="E11" s="102">
        <f>'Giỏ hàng'!B6</f>
        <v>0</v>
      </c>
      <c r="F11" s="102">
        <f>'Giỏ hàng'!C6</f>
        <v>61</v>
      </c>
      <c r="G11" s="103">
        <f>'Giỏ hàng'!D6</f>
        <v>0</v>
      </c>
      <c r="H11" s="103">
        <f>'Giỏ hàng'!E6</f>
        <v>0</v>
      </c>
      <c r="I11" s="104">
        <f>'Giỏ hàng'!F6</f>
        <v>61</v>
      </c>
      <c r="J11" s="7"/>
      <c r="K11" s="7"/>
      <c r="L11" s="7"/>
      <c r="M11" s="7"/>
      <c r="N11" s="7"/>
      <c r="O11" s="7"/>
      <c r="P11" s="7"/>
      <c r="Q11" s="7"/>
      <c r="R11" s="7"/>
      <c r="S11" s="7"/>
      <c r="T11" s="7"/>
      <c r="U11" s="7"/>
      <c r="V11" s="7"/>
      <c r="W11" s="7"/>
      <c r="X11" s="7"/>
      <c r="Y11" s="7"/>
      <c r="Z11" s="7"/>
    </row>
    <row r="12" spans="1:26" ht="12.75" customHeight="1">
      <c r="A12" s="94"/>
      <c r="B12" s="100"/>
      <c r="C12" s="101"/>
      <c r="D12" s="102"/>
      <c r="E12" s="102"/>
      <c r="F12" s="102"/>
      <c r="G12" s="103"/>
      <c r="H12" s="103"/>
      <c r="I12" s="104"/>
      <c r="J12" s="7"/>
      <c r="K12" s="7"/>
      <c r="L12" s="7"/>
      <c r="M12" s="7"/>
      <c r="N12" s="7"/>
      <c r="O12" s="7"/>
      <c r="P12" s="7"/>
      <c r="Q12" s="7"/>
      <c r="R12" s="7"/>
      <c r="S12" s="7"/>
      <c r="T12" s="7"/>
      <c r="U12" s="7"/>
      <c r="V12" s="7"/>
      <c r="W12" s="7"/>
      <c r="X12" s="7"/>
      <c r="Y12" s="7"/>
      <c r="Z12" s="7"/>
    </row>
    <row r="13" spans="1:26" ht="12.75" customHeight="1">
      <c r="A13" s="94"/>
      <c r="B13" s="100"/>
      <c r="C13" s="101"/>
      <c r="D13" s="102"/>
      <c r="E13" s="102"/>
      <c r="F13" s="102"/>
      <c r="G13" s="102"/>
      <c r="H13" s="102"/>
      <c r="I13" s="104"/>
      <c r="J13" s="7"/>
      <c r="K13" s="7"/>
      <c r="L13" s="7"/>
      <c r="M13" s="7"/>
      <c r="N13" s="7"/>
      <c r="O13" s="7"/>
      <c r="P13" s="7"/>
      <c r="Q13" s="7"/>
      <c r="R13" s="7"/>
      <c r="S13" s="7"/>
      <c r="T13" s="7"/>
      <c r="U13" s="7"/>
      <c r="V13" s="7"/>
      <c r="W13" s="7"/>
      <c r="X13" s="7"/>
      <c r="Y13" s="7"/>
      <c r="Z13" s="7"/>
    </row>
    <row r="14" spans="1:26" ht="12.75" customHeight="1">
      <c r="A14" s="94"/>
      <c r="B14" s="100"/>
      <c r="C14" s="101"/>
      <c r="D14" s="102"/>
      <c r="E14" s="102"/>
      <c r="F14" s="102"/>
      <c r="G14" s="103"/>
      <c r="H14" s="103"/>
      <c r="I14" s="104"/>
      <c r="J14" s="7"/>
      <c r="K14" s="7"/>
      <c r="L14" s="7"/>
      <c r="M14" s="7"/>
      <c r="N14" s="7"/>
      <c r="O14" s="7"/>
      <c r="P14" s="7"/>
      <c r="Q14" s="7"/>
      <c r="R14" s="7"/>
      <c r="S14" s="7"/>
      <c r="T14" s="7"/>
      <c r="U14" s="7"/>
      <c r="V14" s="7"/>
      <c r="W14" s="7"/>
      <c r="X14" s="7"/>
      <c r="Y14" s="7"/>
      <c r="Z14" s="7"/>
    </row>
    <row r="15" spans="1:26" ht="12.75" customHeight="1">
      <c r="A15" s="94"/>
      <c r="B15" s="105"/>
      <c r="C15" s="106" t="s">
        <v>53</v>
      </c>
      <c r="D15" s="107">
        <f t="shared" ref="D15:I15" si="0">SUM(D9:D14)</f>
        <v>0</v>
      </c>
      <c r="E15" s="107">
        <f t="shared" si="0"/>
        <v>0</v>
      </c>
      <c r="F15" s="107">
        <f t="shared" si="0"/>
        <v>61</v>
      </c>
      <c r="G15" s="107">
        <f t="shared" si="0"/>
        <v>0</v>
      </c>
      <c r="H15" s="108">
        <f t="shared" si="0"/>
        <v>0</v>
      </c>
      <c r="I15" s="108">
        <f t="shared" si="0"/>
        <v>61</v>
      </c>
      <c r="J15" s="7"/>
      <c r="K15" s="7"/>
      <c r="L15" s="7"/>
      <c r="M15" s="7"/>
      <c r="N15" s="7"/>
      <c r="O15" s="7"/>
      <c r="P15" s="7"/>
      <c r="Q15" s="7"/>
      <c r="R15" s="7"/>
      <c r="S15" s="7"/>
      <c r="T15" s="7"/>
      <c r="U15" s="7"/>
      <c r="V15" s="7"/>
      <c r="W15" s="7"/>
      <c r="X15" s="7"/>
      <c r="Y15" s="7"/>
      <c r="Z15" s="7"/>
    </row>
    <row r="16" spans="1:26" ht="12.75" customHeight="1">
      <c r="A16" s="7"/>
      <c r="B16" s="109"/>
      <c r="C16" s="7"/>
      <c r="D16" s="110"/>
      <c r="E16" s="111"/>
      <c r="F16" s="111"/>
      <c r="G16" s="111"/>
      <c r="H16" s="111"/>
      <c r="I16" s="7"/>
      <c r="J16" s="7"/>
      <c r="K16" s="7"/>
      <c r="L16" s="7"/>
      <c r="M16" s="7"/>
      <c r="N16" s="7"/>
      <c r="O16" s="7"/>
      <c r="P16" s="7"/>
      <c r="Q16" s="7"/>
      <c r="R16" s="7"/>
      <c r="S16" s="7"/>
      <c r="T16" s="7"/>
      <c r="U16" s="7"/>
      <c r="V16" s="7"/>
      <c r="W16" s="7"/>
      <c r="X16" s="7"/>
      <c r="Y16" s="7"/>
      <c r="Z16" s="7"/>
    </row>
    <row r="17" spans="1:26" ht="12.75" customHeight="1">
      <c r="A17" s="7"/>
      <c r="B17" s="7"/>
      <c r="C17" s="5" t="s">
        <v>54</v>
      </c>
      <c r="D17" s="7"/>
      <c r="E17" s="112">
        <f>(D15+E15)*100/(I15-H15-G15)</f>
        <v>0</v>
      </c>
      <c r="F17" s="7" t="s">
        <v>55</v>
      </c>
      <c r="G17" s="7"/>
      <c r="H17" s="69"/>
      <c r="I17" s="7"/>
      <c r="J17" s="7"/>
      <c r="K17" s="7"/>
      <c r="L17" s="7"/>
      <c r="M17" s="7"/>
      <c r="N17" s="7"/>
      <c r="O17" s="7"/>
      <c r="P17" s="7"/>
      <c r="Q17" s="7"/>
      <c r="R17" s="7"/>
      <c r="S17" s="7"/>
      <c r="T17" s="7"/>
      <c r="U17" s="7"/>
      <c r="V17" s="7"/>
      <c r="W17" s="7"/>
      <c r="X17" s="7"/>
      <c r="Y17" s="7"/>
      <c r="Z17" s="7"/>
    </row>
    <row r="18" spans="1:26" ht="12.75" customHeight="1">
      <c r="A18" s="7"/>
      <c r="B18" s="7"/>
      <c r="C18" s="5" t="s">
        <v>56</v>
      </c>
      <c r="D18" s="7"/>
      <c r="E18" s="112" t="e">
        <f>D15*100/(D15+E15)</f>
        <v>#DIV/0!</v>
      </c>
      <c r="F18" s="7" t="s">
        <v>55</v>
      </c>
      <c r="G18" s="7"/>
      <c r="H18" s="69"/>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Test case List</vt:lpstr>
      <vt:lpstr>Giỏ hàng</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 Phươnng Huỳnh</cp:lastModifiedBy>
  <dcterms:created xsi:type="dcterms:W3CDTF">2014-07-14T08:56:24Z</dcterms:created>
  <dcterms:modified xsi:type="dcterms:W3CDTF">2024-12-07T16:25:54Z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